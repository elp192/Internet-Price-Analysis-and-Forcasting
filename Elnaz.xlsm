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lnazpouranbarani/Desktop/Shaw_Interview/Excel/"/>
    </mc:Choice>
  </mc:AlternateContent>
  <xr:revisionPtr revIDLastSave="0" documentId="13_ncr:1_{CB09D4C1-3122-F542-A0C1-2EE5C7E73571}" xr6:coauthVersionLast="47" xr6:coauthVersionMax="47" xr10:uidLastSave="{00000000-0000-0000-0000-000000000000}"/>
  <bookViews>
    <workbookView xWindow="0" yWindow="500" windowWidth="28800" windowHeight="16600" activeTab="2" xr2:uid="{00000000-000D-0000-FFFF-FFFF00000000}"/>
  </bookViews>
  <sheets>
    <sheet name="Country" sheetId="31" r:id="rId1"/>
    <sheet name="CanadaForcast" sheetId="32" r:id="rId2"/>
    <sheet name="Forecast" sheetId="33" r:id="rId3"/>
  </sheets>
  <definedNames>
    <definedName name="Countr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33" l="1" a="1"/>
  <c r="G12" i="33" s="1"/>
  <c r="J41" i="31" a="1"/>
  <c r="J41" i="31" s="1"/>
  <c r="B2" i="33" a="1"/>
  <c r="B2" i="33" s="1"/>
  <c r="C16" i="32"/>
  <c r="C17" i="32"/>
  <c r="C13" i="32"/>
  <c r="C15" i="32"/>
  <c r="C14" i="32"/>
  <c r="E14" i="32" l="1"/>
  <c r="D13" i="32"/>
  <c r="E16" i="32"/>
  <c r="E13" i="32"/>
  <c r="D16" i="32"/>
  <c r="E15" i="32"/>
  <c r="D15" i="32"/>
  <c r="D14" i="32"/>
  <c r="D17" i="32"/>
  <c r="E17" i="32"/>
  <c r="I2" i="31" l="1" a="1"/>
  <c r="I2" i="31" s="1"/>
  <c r="J1" i="31" a="1"/>
  <c r="K2" i="31" l="1" a="1"/>
  <c r="K2" i="31" s="1"/>
  <c r="CE5" i="31" a="1"/>
  <c r="CE5" i="31" s="1"/>
  <c r="BZ5" i="31" a="1"/>
  <c r="BZ5" i="31" s="1"/>
  <c r="BW5" i="31" a="1"/>
  <c r="BW5" i="31" s="1"/>
  <c r="BR5" i="31" a="1"/>
  <c r="BR5" i="31" s="1"/>
  <c r="BO5" i="31" a="1"/>
  <c r="BO5" i="31" s="1"/>
  <c r="BJ5" i="31" a="1"/>
  <c r="BJ5" i="31" s="1"/>
  <c r="BG5" i="31" a="1"/>
  <c r="BG5" i="31" s="1"/>
  <c r="BB5" i="31" a="1"/>
  <c r="BB5" i="31" s="1"/>
  <c r="AY5" i="31" a="1"/>
  <c r="AY5" i="31" s="1"/>
  <c r="AT5" i="31" a="1"/>
  <c r="AT5" i="31" s="1"/>
  <c r="AQ5" i="31" a="1"/>
  <c r="AQ5" i="31" s="1"/>
  <c r="AL5" i="31" a="1"/>
  <c r="AL5" i="31" s="1"/>
  <c r="AI5" i="31" a="1"/>
  <c r="AI5" i="31" s="1"/>
  <c r="AD5" i="31" a="1"/>
  <c r="AD5" i="31" s="1"/>
  <c r="AA5" i="31" a="1"/>
  <c r="AA5" i="31" s="1"/>
  <c r="V5" i="31" a="1"/>
  <c r="V5" i="31" s="1"/>
  <c r="S5" i="31" a="1"/>
  <c r="S5" i="31" s="1"/>
  <c r="N5" i="31" a="1"/>
  <c r="N5" i="31" s="1"/>
  <c r="K5" i="31" a="1"/>
  <c r="K5" i="31" s="1"/>
  <c r="DW4" i="31" a="1"/>
  <c r="DW4" i="31" s="1"/>
  <c r="DT4" i="31" a="1"/>
  <c r="DT4" i="31" s="1"/>
  <c r="DO4" i="31" a="1"/>
  <c r="DO4" i="31" s="1"/>
  <c r="DL4" i="31" a="1"/>
  <c r="DL4" i="31" s="1"/>
  <c r="DG4" i="31" a="1"/>
  <c r="DG4" i="31" s="1"/>
  <c r="DD4" i="31" a="1"/>
  <c r="DD4" i="31" s="1"/>
  <c r="CY4" i="31" a="1"/>
  <c r="CY4" i="31" s="1"/>
  <c r="CV4" i="31" a="1"/>
  <c r="CV4" i="31" s="1"/>
  <c r="CQ4" i="31" a="1"/>
  <c r="CQ4" i="31" s="1"/>
  <c r="CN4" i="31" a="1"/>
  <c r="CN4" i="31" s="1"/>
  <c r="CI4" i="31" a="1"/>
  <c r="CI4" i="31" s="1"/>
  <c r="CF4" i="31" a="1"/>
  <c r="CF4" i="31" s="1"/>
  <c r="CA4" i="31" a="1"/>
  <c r="CA4" i="31" s="1"/>
  <c r="BX4" i="31" a="1"/>
  <c r="BX4" i="31" s="1"/>
  <c r="BS4" i="31" a="1"/>
  <c r="BS4" i="31" s="1"/>
  <c r="BP4" i="31" a="1"/>
  <c r="BP4" i="31" s="1"/>
  <c r="BK4" i="31" a="1"/>
  <c r="BK4" i="31" s="1"/>
  <c r="BH4" i="31" a="1"/>
  <c r="BH4" i="31" s="1"/>
  <c r="BC4" i="31" a="1"/>
  <c r="BC4" i="31" s="1"/>
  <c r="AZ4" i="31" a="1"/>
  <c r="AZ4" i="31" s="1"/>
  <c r="AU4" i="31" a="1"/>
  <c r="AU4" i="31" s="1"/>
  <c r="AR4" i="31" a="1"/>
  <c r="AR4" i="31" s="1"/>
  <c r="AM4" i="31" a="1"/>
  <c r="AM4" i="31" s="1"/>
  <c r="AJ4" i="31" a="1"/>
  <c r="AJ4" i="31" s="1"/>
  <c r="AE4" i="31" a="1"/>
  <c r="AE4" i="31" s="1"/>
  <c r="AB4" i="31" a="1"/>
  <c r="AB4" i="31" s="1"/>
  <c r="W4" i="31" a="1"/>
  <c r="W4" i="31" s="1"/>
  <c r="T4" i="31" a="1"/>
  <c r="T4" i="31" s="1"/>
  <c r="O4" i="31" a="1"/>
  <c r="O4" i="31" s="1"/>
  <c r="L4" i="31" a="1"/>
  <c r="L4" i="31" s="1"/>
  <c r="DU3" i="31" a="1"/>
  <c r="DU3" i="31" s="1"/>
  <c r="DP3" i="31" a="1"/>
  <c r="DP3" i="31" s="1"/>
  <c r="DM3" i="31" a="1"/>
  <c r="DM3" i="31" s="1"/>
  <c r="DH3" i="31" a="1"/>
  <c r="DH3" i="31" s="1"/>
  <c r="DE3" i="31" a="1"/>
  <c r="DE3" i="31" s="1"/>
  <c r="CZ3" i="31" a="1"/>
  <c r="CZ3" i="31" s="1"/>
  <c r="CB5" i="31" a="1"/>
  <c r="CB5" i="31" s="1"/>
  <c r="BY5" i="31" a="1"/>
  <c r="BY5" i="31" s="1"/>
  <c r="BT5" i="31" a="1"/>
  <c r="BT5" i="31" s="1"/>
  <c r="BQ5" i="31" a="1"/>
  <c r="BQ5" i="31" s="1"/>
  <c r="BL5" i="31" a="1"/>
  <c r="BL5" i="31" s="1"/>
  <c r="BI5" i="31" a="1"/>
  <c r="BI5" i="31" s="1"/>
  <c r="BD5" i="31" a="1"/>
  <c r="BD5" i="31" s="1"/>
  <c r="BA5" i="31" a="1"/>
  <c r="BA5" i="31" s="1"/>
  <c r="AV5" i="31" a="1"/>
  <c r="AV5" i="31" s="1"/>
  <c r="AS5" i="31" a="1"/>
  <c r="AS5" i="31" s="1"/>
  <c r="AN5" i="31" a="1"/>
  <c r="AN5" i="31" s="1"/>
  <c r="AK5" i="31" a="1"/>
  <c r="AK5" i="31" s="1"/>
  <c r="AF5" i="31" a="1"/>
  <c r="AF5" i="31" s="1"/>
  <c r="AC5" i="31" a="1"/>
  <c r="AC5" i="31" s="1"/>
  <c r="X5" i="31" a="1"/>
  <c r="X5" i="31" s="1"/>
  <c r="U5" i="31" a="1"/>
  <c r="U5" i="31" s="1"/>
  <c r="P5" i="31" a="1"/>
  <c r="P5" i="31" s="1"/>
  <c r="M5" i="31" a="1"/>
  <c r="M5" i="31" s="1"/>
  <c r="DV4" i="31" a="1"/>
  <c r="DV4" i="31" s="1"/>
  <c r="DQ4" i="31" a="1"/>
  <c r="DQ4" i="31" s="1"/>
  <c r="DN4" i="31" a="1"/>
  <c r="DN4" i="31" s="1"/>
  <c r="DI4" i="31" a="1"/>
  <c r="DI4" i="31" s="1"/>
  <c r="DF4" i="31" a="1"/>
  <c r="DF4" i="31" s="1"/>
  <c r="DA4" i="31" a="1"/>
  <c r="DA4" i="31" s="1"/>
  <c r="CX4" i="31" a="1"/>
  <c r="CX4" i="31" s="1"/>
  <c r="CS4" i="31" a="1"/>
  <c r="CS4" i="31" s="1"/>
  <c r="CP4" i="31" a="1"/>
  <c r="CP4" i="31" s="1"/>
  <c r="CK4" i="31" a="1"/>
  <c r="CK4" i="31" s="1"/>
  <c r="CH4" i="31" a="1"/>
  <c r="CH4" i="31" s="1"/>
  <c r="CC4" i="31" a="1"/>
  <c r="CC4" i="31" s="1"/>
  <c r="BZ4" i="31" a="1"/>
  <c r="BZ4" i="31" s="1"/>
  <c r="BU4" i="31" a="1"/>
  <c r="BU4" i="31" s="1"/>
  <c r="BR4" i="31" a="1"/>
  <c r="BR4" i="31" s="1"/>
  <c r="BM4" i="31" a="1"/>
  <c r="BM4" i="31" s="1"/>
  <c r="BJ4" i="31" a="1"/>
  <c r="BJ4" i="31" s="1"/>
  <c r="BE4" i="31" a="1"/>
  <c r="BE4" i="31" s="1"/>
  <c r="BB4" i="31" a="1"/>
  <c r="BB4" i="31" s="1"/>
  <c r="AW4" i="31" a="1"/>
  <c r="AW4" i="31" s="1"/>
  <c r="AT4" i="31" a="1"/>
  <c r="AT4" i="31" s="1"/>
  <c r="AO4" i="31" a="1"/>
  <c r="AO4" i="31" s="1"/>
  <c r="AL4" i="31" a="1"/>
  <c r="AL4" i="31" s="1"/>
  <c r="AG4" i="31" a="1"/>
  <c r="AG4" i="31" s="1"/>
  <c r="AD4" i="31" a="1"/>
  <c r="AD4" i="31" s="1"/>
  <c r="Y4" i="31" a="1"/>
  <c r="Y4" i="31" s="1"/>
  <c r="V4" i="31" a="1"/>
  <c r="V4" i="31" s="1"/>
  <c r="Q4" i="31" a="1"/>
  <c r="Q4" i="31" s="1"/>
  <c r="N4" i="31" a="1"/>
  <c r="N4" i="31" s="1"/>
  <c r="DW3" i="31" a="1"/>
  <c r="DW3" i="31" s="1"/>
  <c r="DR3" i="31" a="1"/>
  <c r="DR3" i="31" s="1"/>
  <c r="DO3" i="31" a="1"/>
  <c r="DO3" i="31" s="1"/>
  <c r="DJ3" i="31" a="1"/>
  <c r="DJ3" i="31" s="1"/>
  <c r="DG3" i="31" a="1"/>
  <c r="DG3" i="31" s="1"/>
  <c r="DB3" i="31" a="1"/>
  <c r="DB3" i="31" s="1"/>
  <c r="CY3" i="31" a="1"/>
  <c r="CY3" i="31" s="1"/>
  <c r="CD5" i="31" a="1"/>
  <c r="CD5" i="31" s="1"/>
  <c r="CA5" i="31" a="1"/>
  <c r="CA5" i="31" s="1"/>
  <c r="BV5" i="31" a="1"/>
  <c r="BV5" i="31" s="1"/>
  <c r="BS5" i="31" a="1"/>
  <c r="BS5" i="31" s="1"/>
  <c r="BN5" i="31" a="1"/>
  <c r="BN5" i="31" s="1"/>
  <c r="BK5" i="31" a="1"/>
  <c r="BK5" i="31" s="1"/>
  <c r="BF5" i="31" a="1"/>
  <c r="BF5" i="31" s="1"/>
  <c r="BC5" i="31" a="1"/>
  <c r="BC5" i="31" s="1"/>
  <c r="AX5" i="31" a="1"/>
  <c r="AX5" i="31" s="1"/>
  <c r="AU5" i="31" a="1"/>
  <c r="AU5" i="31" s="1"/>
  <c r="AP5" i="31" a="1"/>
  <c r="AP5" i="31" s="1"/>
  <c r="AM5" i="31" a="1"/>
  <c r="AM5" i="31" s="1"/>
  <c r="AH5" i="31" a="1"/>
  <c r="AH5" i="31" s="1"/>
  <c r="AE5" i="31" a="1"/>
  <c r="AE5" i="31" s="1"/>
  <c r="Z5" i="31" a="1"/>
  <c r="Z5" i="31" s="1"/>
  <c r="W5" i="31" a="1"/>
  <c r="W5" i="31" s="1"/>
  <c r="R5" i="31" a="1"/>
  <c r="R5" i="31" s="1"/>
  <c r="O5" i="31" a="1"/>
  <c r="O5" i="31" s="1"/>
  <c r="DS4" i="31" a="1"/>
  <c r="DS4" i="31" s="1"/>
  <c r="DP4" i="31" a="1"/>
  <c r="DP4" i="31" s="1"/>
  <c r="DK4" i="31" a="1"/>
  <c r="DK4" i="31" s="1"/>
  <c r="DH4" i="31" a="1"/>
  <c r="DH4" i="31" s="1"/>
  <c r="DC4" i="31" a="1"/>
  <c r="DC4" i="31" s="1"/>
  <c r="CZ4" i="31" a="1"/>
  <c r="CZ4" i="31" s="1"/>
  <c r="CU4" i="31" a="1"/>
  <c r="CU4" i="31" s="1"/>
  <c r="CR4" i="31" a="1"/>
  <c r="CR4" i="31" s="1"/>
  <c r="CM4" i="31" a="1"/>
  <c r="CM4" i="31" s="1"/>
  <c r="CJ4" i="31" a="1"/>
  <c r="CJ4" i="31" s="1"/>
  <c r="CE4" i="31" a="1"/>
  <c r="CE4" i="31" s="1"/>
  <c r="CB4" i="31" a="1"/>
  <c r="CB4" i="31" s="1"/>
  <c r="BW4" i="31" a="1"/>
  <c r="BW4" i="31" s="1"/>
  <c r="BT4" i="31" a="1"/>
  <c r="BT4" i="31" s="1"/>
  <c r="BO4" i="31" a="1"/>
  <c r="BO4" i="31" s="1"/>
  <c r="BL4" i="31" a="1"/>
  <c r="BL4" i="31" s="1"/>
  <c r="BG4" i="31" a="1"/>
  <c r="BG4" i="31" s="1"/>
  <c r="BD4" i="31" a="1"/>
  <c r="BD4" i="31" s="1"/>
  <c r="AY4" i="31" a="1"/>
  <c r="AY4" i="31" s="1"/>
  <c r="AV4" i="31" a="1"/>
  <c r="AV4" i="31" s="1"/>
  <c r="AQ4" i="31" a="1"/>
  <c r="AQ4" i="31" s="1"/>
  <c r="AN4" i="31" a="1"/>
  <c r="AN4" i="31" s="1"/>
  <c r="AI4" i="31" a="1"/>
  <c r="AI4" i="31" s="1"/>
  <c r="AF4" i="31" a="1"/>
  <c r="AF4" i="31" s="1"/>
  <c r="AA4" i="31" a="1"/>
  <c r="AA4" i="31" s="1"/>
  <c r="X4" i="31" a="1"/>
  <c r="X4" i="31" s="1"/>
  <c r="S4" i="31" a="1"/>
  <c r="S4" i="31" s="1"/>
  <c r="P4" i="31" a="1"/>
  <c r="P4" i="31" s="1"/>
  <c r="K4" i="31" a="1"/>
  <c r="K4" i="31" s="1"/>
  <c r="DZ2" i="31" s="1"/>
  <c r="DT3" i="31" a="1"/>
  <c r="DT3" i="31" s="1"/>
  <c r="DQ3" i="31" a="1"/>
  <c r="DQ3" i="31" s="1"/>
  <c r="DL3" i="31" a="1"/>
  <c r="DL3" i="31" s="1"/>
  <c r="DI3" i="31" a="1"/>
  <c r="DI3" i="31" s="1"/>
  <c r="DD3" i="31" a="1"/>
  <c r="DD3" i="31" s="1"/>
  <c r="DA3" i="31" a="1"/>
  <c r="DA3" i="31" s="1"/>
  <c r="CF5" i="31" a="1"/>
  <c r="CF5" i="31" s="1"/>
  <c r="CC5" i="31" a="1"/>
  <c r="CC5" i="31" s="1"/>
  <c r="BX5" i="31" a="1"/>
  <c r="BX5" i="31" s="1"/>
  <c r="BU5" i="31" a="1"/>
  <c r="BU5" i="31" s="1"/>
  <c r="BP5" i="31" a="1"/>
  <c r="BP5" i="31" s="1"/>
  <c r="BM5" i="31" a="1"/>
  <c r="BM5" i="31" s="1"/>
  <c r="BH5" i="31" a="1"/>
  <c r="BH5" i="31" s="1"/>
  <c r="BE5" i="31" a="1"/>
  <c r="BE5" i="31" s="1"/>
  <c r="AZ5" i="31" a="1"/>
  <c r="AZ5" i="31" s="1"/>
  <c r="AW5" i="31" a="1"/>
  <c r="AW5" i="31" s="1"/>
  <c r="AR5" i="31" a="1"/>
  <c r="AR5" i="31" s="1"/>
  <c r="AO5" i="31" a="1"/>
  <c r="AO5" i="31" s="1"/>
  <c r="AJ5" i="31" a="1"/>
  <c r="AJ5" i="31" s="1"/>
  <c r="AG5" i="31" a="1"/>
  <c r="AG5" i="31" s="1"/>
  <c r="AB5" i="31" a="1"/>
  <c r="AB5" i="31" s="1"/>
  <c r="Y5" i="31" a="1"/>
  <c r="Y5" i="31" s="1"/>
  <c r="T5" i="31" a="1"/>
  <c r="T5" i="31" s="1"/>
  <c r="Q5" i="31" a="1"/>
  <c r="Q5" i="31" s="1"/>
  <c r="L5" i="31" a="1"/>
  <c r="L5" i="31" s="1"/>
  <c r="DU4" i="31" a="1"/>
  <c r="DU4" i="31" s="1"/>
  <c r="DR4" i="31" a="1"/>
  <c r="DR4" i="31" s="1"/>
  <c r="DM4" i="31" a="1"/>
  <c r="DM4" i="31" s="1"/>
  <c r="DJ4" i="31" a="1"/>
  <c r="DJ4" i="31" s="1"/>
  <c r="DE4" i="31" a="1"/>
  <c r="DE4" i="31" s="1"/>
  <c r="DB4" i="31" a="1"/>
  <c r="DB4" i="31" s="1"/>
  <c r="CW4" i="31" a="1"/>
  <c r="CW4" i="31" s="1"/>
  <c r="CT4" i="31" a="1"/>
  <c r="CT4" i="31" s="1"/>
  <c r="CO4" i="31" a="1"/>
  <c r="CO4" i="31" s="1"/>
  <c r="CL4" i="31" a="1"/>
  <c r="CL4" i="31" s="1"/>
  <c r="CG4" i="31" a="1"/>
  <c r="CG4" i="31" s="1"/>
  <c r="CD4" i="31" a="1"/>
  <c r="CD4" i="31" s="1"/>
  <c r="BY4" i="31" a="1"/>
  <c r="BY4" i="31" s="1"/>
  <c r="BV4" i="31" a="1"/>
  <c r="BV4" i="31" s="1"/>
  <c r="BQ4" i="31" a="1"/>
  <c r="BQ4" i="31" s="1"/>
  <c r="BN4" i="31" a="1"/>
  <c r="BN4" i="31" s="1"/>
  <c r="BI4" i="31" a="1"/>
  <c r="BI4" i="31" s="1"/>
  <c r="BF4" i="31" a="1"/>
  <c r="BF4" i="31" s="1"/>
  <c r="BA4" i="31" a="1"/>
  <c r="BA4" i="31" s="1"/>
  <c r="AX4" i="31" a="1"/>
  <c r="AX4" i="31" s="1"/>
  <c r="AS4" i="31" a="1"/>
  <c r="AS4" i="31" s="1"/>
  <c r="AP4" i="31" a="1"/>
  <c r="AP4" i="31" s="1"/>
  <c r="AK4" i="31" a="1"/>
  <c r="AK4" i="31" s="1"/>
  <c r="AH4" i="31" a="1"/>
  <c r="AH4" i="31" s="1"/>
  <c r="AC4" i="31" a="1"/>
  <c r="AC4" i="31" s="1"/>
  <c r="Z4" i="31" a="1"/>
  <c r="Z4" i="31" s="1"/>
  <c r="U4" i="31" a="1"/>
  <c r="U4" i="31" s="1"/>
  <c r="R4" i="31" a="1"/>
  <c r="R4" i="31" s="1"/>
  <c r="M4" i="31" a="1"/>
  <c r="M4" i="31" s="1"/>
  <c r="DV3" i="31" a="1"/>
  <c r="DV3" i="31" s="1"/>
  <c r="DS3" i="31" a="1"/>
  <c r="DS3" i="31" s="1"/>
  <c r="DN3" i="31" a="1"/>
  <c r="DN3" i="31" s="1"/>
  <c r="DK3" i="31" a="1"/>
  <c r="DK3" i="31" s="1"/>
  <c r="DF3" i="31" a="1"/>
  <c r="DF3" i="31" s="1"/>
  <c r="CX3" i="31" a="1"/>
  <c r="CX3" i="31" s="1"/>
  <c r="CU3" i="31" a="1"/>
  <c r="CU3" i="31" s="1"/>
  <c r="CP3" i="31" a="1"/>
  <c r="CP3" i="31" s="1"/>
  <c r="CM3" i="31" a="1"/>
  <c r="CM3" i="31" s="1"/>
  <c r="CH3" i="31" a="1"/>
  <c r="CH3" i="31" s="1"/>
  <c r="CE3" i="31" a="1"/>
  <c r="CE3" i="31" s="1"/>
  <c r="BZ3" i="31" a="1"/>
  <c r="BZ3" i="31" s="1"/>
  <c r="BW3" i="31" a="1"/>
  <c r="BW3" i="31" s="1"/>
  <c r="BR3" i="31" a="1"/>
  <c r="BR3" i="31" s="1"/>
  <c r="BO3" i="31" a="1"/>
  <c r="BO3" i="31" s="1"/>
  <c r="BJ3" i="31" a="1"/>
  <c r="BJ3" i="31" s="1"/>
  <c r="BG3" i="31" a="1"/>
  <c r="BG3" i="31" s="1"/>
  <c r="BB3" i="31" a="1"/>
  <c r="BB3" i="31" s="1"/>
  <c r="AY3" i="31" a="1"/>
  <c r="AY3" i="31" s="1"/>
  <c r="AT3" i="31" a="1"/>
  <c r="AT3" i="31" s="1"/>
  <c r="AQ3" i="31" a="1"/>
  <c r="AQ3" i="31" s="1"/>
  <c r="AL3" i="31" a="1"/>
  <c r="AL3" i="31" s="1"/>
  <c r="AI3" i="31" a="1"/>
  <c r="AI3" i="31" s="1"/>
  <c r="AD3" i="31" a="1"/>
  <c r="AD3" i="31" s="1"/>
  <c r="AA3" i="31" a="1"/>
  <c r="AA3" i="31" s="1"/>
  <c r="V3" i="31" a="1"/>
  <c r="V3" i="31" s="1"/>
  <c r="S3" i="31" a="1"/>
  <c r="S3" i="31" s="1"/>
  <c r="N3" i="31" a="1"/>
  <c r="N3" i="31" s="1"/>
  <c r="K3" i="31" a="1"/>
  <c r="K3" i="31" s="1"/>
  <c r="DW2" i="31" a="1"/>
  <c r="DW2" i="31" s="1"/>
  <c r="DT2" i="31" a="1"/>
  <c r="DT2" i="31" s="1"/>
  <c r="DO2" i="31" a="1"/>
  <c r="DO2" i="31" s="1"/>
  <c r="DC3" i="31" a="1"/>
  <c r="DC3" i="31" s="1"/>
  <c r="CW3" i="31" a="1"/>
  <c r="CW3" i="31" s="1"/>
  <c r="CR3" i="31" a="1"/>
  <c r="CR3" i="31" s="1"/>
  <c r="CO3" i="31" a="1"/>
  <c r="CO3" i="31" s="1"/>
  <c r="CJ3" i="31" a="1"/>
  <c r="CJ3" i="31" s="1"/>
  <c r="CG3" i="31" a="1"/>
  <c r="CG3" i="31" s="1"/>
  <c r="CB3" i="31" a="1"/>
  <c r="CB3" i="31" s="1"/>
  <c r="BY3" i="31" a="1"/>
  <c r="BY3" i="31" s="1"/>
  <c r="BT3" i="31" a="1"/>
  <c r="BT3" i="31" s="1"/>
  <c r="BQ3" i="31" a="1"/>
  <c r="BQ3" i="31" s="1"/>
  <c r="BL3" i="31" a="1"/>
  <c r="BL3" i="31" s="1"/>
  <c r="BI3" i="31" a="1"/>
  <c r="BI3" i="31" s="1"/>
  <c r="BD3" i="31" a="1"/>
  <c r="BD3" i="31" s="1"/>
  <c r="BA3" i="31" a="1"/>
  <c r="BA3" i="31" s="1"/>
  <c r="AV3" i="31" a="1"/>
  <c r="AV3" i="31" s="1"/>
  <c r="AS3" i="31" a="1"/>
  <c r="AS3" i="31" s="1"/>
  <c r="AN3" i="31" a="1"/>
  <c r="AN3" i="31" s="1"/>
  <c r="AK3" i="31" a="1"/>
  <c r="AK3" i="31" s="1"/>
  <c r="AF3" i="31" a="1"/>
  <c r="AF3" i="31" s="1"/>
  <c r="AC3" i="31" a="1"/>
  <c r="AC3" i="31" s="1"/>
  <c r="X3" i="31" a="1"/>
  <c r="X3" i="31" s="1"/>
  <c r="U3" i="31" a="1"/>
  <c r="U3" i="31" s="1"/>
  <c r="P3" i="31" a="1"/>
  <c r="P3" i="31" s="1"/>
  <c r="M3" i="31" a="1"/>
  <c r="M3" i="31" s="1"/>
  <c r="DV2" i="31" a="1"/>
  <c r="DV2" i="31" s="1"/>
  <c r="DQ2" i="31" a="1"/>
  <c r="DQ2" i="31" s="1"/>
  <c r="DN2" i="31" a="1"/>
  <c r="DN2" i="31" s="1"/>
  <c r="CT3" i="31" a="1"/>
  <c r="CT3" i="31" s="1"/>
  <c r="CQ3" i="31" a="1"/>
  <c r="CQ3" i="31" s="1"/>
  <c r="CL3" i="31" a="1"/>
  <c r="CL3" i="31" s="1"/>
  <c r="CI3" i="31" a="1"/>
  <c r="CI3" i="31" s="1"/>
  <c r="CD3" i="31" a="1"/>
  <c r="CD3" i="31" s="1"/>
  <c r="CA3" i="31" a="1"/>
  <c r="CA3" i="31" s="1"/>
  <c r="BV3" i="31" a="1"/>
  <c r="BV3" i="31" s="1"/>
  <c r="BS3" i="31" a="1"/>
  <c r="BS3" i="31" s="1"/>
  <c r="BN3" i="31" a="1"/>
  <c r="BN3" i="31" s="1"/>
  <c r="BK3" i="31" a="1"/>
  <c r="BK3" i="31" s="1"/>
  <c r="BF3" i="31" a="1"/>
  <c r="BF3" i="31" s="1"/>
  <c r="BC3" i="31" a="1"/>
  <c r="BC3" i="31" s="1"/>
  <c r="AX3" i="31" a="1"/>
  <c r="AX3" i="31" s="1"/>
  <c r="AU3" i="31" a="1"/>
  <c r="AU3" i="31" s="1"/>
  <c r="AP3" i="31" a="1"/>
  <c r="AP3" i="31" s="1"/>
  <c r="AM3" i="31" a="1"/>
  <c r="AM3" i="31" s="1"/>
  <c r="AH3" i="31" a="1"/>
  <c r="AH3" i="31" s="1"/>
  <c r="AE3" i="31" a="1"/>
  <c r="AE3" i="31" s="1"/>
  <c r="Z3" i="31" a="1"/>
  <c r="Z3" i="31" s="1"/>
  <c r="W3" i="31" a="1"/>
  <c r="W3" i="31" s="1"/>
  <c r="R3" i="31" a="1"/>
  <c r="R3" i="31" s="1"/>
  <c r="O3" i="31" a="1"/>
  <c r="O3" i="31" s="1"/>
  <c r="DS2" i="31" a="1"/>
  <c r="DS2" i="31" s="1"/>
  <c r="DP2" i="31" a="1"/>
  <c r="DP2" i="31" s="1"/>
  <c r="DK2" i="31" a="1"/>
  <c r="DK2" i="31" s="1"/>
  <c r="CV3" i="31" a="1"/>
  <c r="CV3" i="31" s="1"/>
  <c r="CS3" i="31" a="1"/>
  <c r="CS3" i="31" s="1"/>
  <c r="CN3" i="31" a="1"/>
  <c r="CN3" i="31" s="1"/>
  <c r="CK3" i="31" a="1"/>
  <c r="CK3" i="31" s="1"/>
  <c r="CF3" i="31" a="1"/>
  <c r="CF3" i="31" s="1"/>
  <c r="CC3" i="31" a="1"/>
  <c r="CC3" i="31" s="1"/>
  <c r="BX3" i="31" a="1"/>
  <c r="BX3" i="31" s="1"/>
  <c r="BU3" i="31" a="1"/>
  <c r="BU3" i="31" s="1"/>
  <c r="BP3" i="31" a="1"/>
  <c r="BP3" i="31" s="1"/>
  <c r="BM3" i="31" a="1"/>
  <c r="BM3" i="31" s="1"/>
  <c r="BH3" i="31" a="1"/>
  <c r="BH3" i="31" s="1"/>
  <c r="BE3" i="31" a="1"/>
  <c r="BE3" i="31" s="1"/>
  <c r="AZ3" i="31" a="1"/>
  <c r="AZ3" i="31" s="1"/>
  <c r="AW3" i="31" a="1"/>
  <c r="AW3" i="31" s="1"/>
  <c r="AR3" i="31" a="1"/>
  <c r="AR3" i="31" s="1"/>
  <c r="AO3" i="31" a="1"/>
  <c r="AO3" i="31" s="1"/>
  <c r="AJ3" i="31" a="1"/>
  <c r="AJ3" i="31" s="1"/>
  <c r="AG3" i="31" a="1"/>
  <c r="AG3" i="31" s="1"/>
  <c r="AB3" i="31" a="1"/>
  <c r="AB3" i="31" s="1"/>
  <c r="Y3" i="31" a="1"/>
  <c r="Y3" i="31" s="1"/>
  <c r="T3" i="31" a="1"/>
  <c r="T3" i="31" s="1"/>
  <c r="Q3" i="31" a="1"/>
  <c r="Q3" i="31" s="1"/>
  <c r="L3" i="31" a="1"/>
  <c r="L3" i="31" s="1"/>
  <c r="DU2" i="31" a="1"/>
  <c r="DU2" i="31" s="1"/>
  <c r="DR2" i="31" a="1"/>
  <c r="DR2" i="31" s="1"/>
  <c r="DM2" i="31" a="1"/>
  <c r="DM2" i="31" s="1"/>
  <c r="L2" i="31" a="1"/>
  <c r="L2" i="31" s="1"/>
  <c r="R2" i="31" a="1"/>
  <c r="R2" i="31" s="1"/>
  <c r="V2" i="31" a="1"/>
  <c r="V2" i="31" s="1"/>
  <c r="Z2" i="31" a="1"/>
  <c r="Z2" i="31" s="1"/>
  <c r="J1" i="31"/>
  <c r="AC2" i="31" a="1"/>
  <c r="AC2" i="31" s="1"/>
  <c r="AH2" i="31" a="1"/>
  <c r="AH2" i="31" s="1"/>
  <c r="AK2" i="31" a="1"/>
  <c r="AK2" i="31" s="1"/>
  <c r="AP2" i="31" a="1"/>
  <c r="AP2" i="31" s="1"/>
  <c r="AS2" i="31" a="1"/>
  <c r="AS2" i="31" s="1"/>
  <c r="AX2" i="31" a="1"/>
  <c r="AX2" i="31" s="1"/>
  <c r="BA2" i="31" a="1"/>
  <c r="BA2" i="31" s="1"/>
  <c r="BF2" i="31" a="1"/>
  <c r="BF2" i="31" s="1"/>
  <c r="BI2" i="31" a="1"/>
  <c r="BI2" i="31" s="1"/>
  <c r="BN2" i="31" a="1"/>
  <c r="BN2" i="31" s="1"/>
  <c r="BQ2" i="31" a="1"/>
  <c r="BQ2" i="31" s="1"/>
  <c r="BV2" i="31" a="1"/>
  <c r="BV2" i="31" s="1"/>
  <c r="BY2" i="31" a="1"/>
  <c r="BY2" i="31" s="1"/>
  <c r="CD2" i="31" a="1"/>
  <c r="CD2" i="31" s="1"/>
  <c r="CG2" i="31" a="1"/>
  <c r="CG2" i="31" s="1"/>
  <c r="CL2" i="31" a="1"/>
  <c r="CL2" i="31" s="1"/>
  <c r="CO2" i="31" a="1"/>
  <c r="CO2" i="31" s="1"/>
  <c r="CT2" i="31" a="1"/>
  <c r="CT2" i="31" s="1"/>
  <c r="CW2" i="31" a="1"/>
  <c r="CW2" i="31" s="1"/>
  <c r="DB2" i="31" a="1"/>
  <c r="DB2" i="31" s="1"/>
  <c r="DE2" i="31" a="1"/>
  <c r="DE2" i="31" s="1"/>
  <c r="DJ2" i="31" a="1"/>
  <c r="DJ2" i="31" s="1"/>
  <c r="O2" i="31" a="1"/>
  <c r="O2" i="31" s="1"/>
  <c r="S2" i="31" a="1"/>
  <c r="S2" i="31" s="1"/>
  <c r="W2" i="31" a="1"/>
  <c r="W2" i="31" s="1"/>
  <c r="Y2" i="31" a="1"/>
  <c r="Y2" i="31" s="1"/>
  <c r="AA2" i="31" a="1"/>
  <c r="AA2" i="31" s="1"/>
  <c r="AF2" i="31" a="1"/>
  <c r="AF2" i="31" s="1"/>
  <c r="AI2" i="31" a="1"/>
  <c r="AI2" i="31" s="1"/>
  <c r="AN2" i="31" a="1"/>
  <c r="AN2" i="31" s="1"/>
  <c r="AQ2" i="31" a="1"/>
  <c r="AQ2" i="31" s="1"/>
  <c r="AV2" i="31" a="1"/>
  <c r="AV2" i="31" s="1"/>
  <c r="AY2" i="31" a="1"/>
  <c r="AY2" i="31" s="1"/>
  <c r="BD2" i="31" a="1"/>
  <c r="BD2" i="31" s="1"/>
  <c r="BG2" i="31" a="1"/>
  <c r="BG2" i="31" s="1"/>
  <c r="BL2" i="31" a="1"/>
  <c r="BL2" i="31" s="1"/>
  <c r="BO2" i="31" a="1"/>
  <c r="BO2" i="31" s="1"/>
  <c r="BT2" i="31" a="1"/>
  <c r="BT2" i="31" s="1"/>
  <c r="BW2" i="31" a="1"/>
  <c r="BW2" i="31" s="1"/>
  <c r="CB2" i="31" a="1"/>
  <c r="CB2" i="31" s="1"/>
  <c r="CE2" i="31" a="1"/>
  <c r="CE2" i="31" s="1"/>
  <c r="CJ2" i="31" a="1"/>
  <c r="CJ2" i="31" s="1"/>
  <c r="CM2" i="31" a="1"/>
  <c r="CM2" i="31" s="1"/>
  <c r="CR2" i="31" a="1"/>
  <c r="CR2" i="31" s="1"/>
  <c r="CU2" i="31" a="1"/>
  <c r="CU2" i="31" s="1"/>
  <c r="CZ2" i="31" a="1"/>
  <c r="CZ2" i="31" s="1"/>
  <c r="DC2" i="31" a="1"/>
  <c r="DC2" i="31" s="1"/>
  <c r="DH2" i="31" a="1"/>
  <c r="DH2" i="31" s="1"/>
  <c r="M2" i="31" a="1"/>
  <c r="M2" i="31" s="1"/>
  <c r="Q2" i="31" a="1"/>
  <c r="Q2" i="31" s="1"/>
  <c r="U2" i="31" a="1"/>
  <c r="U2" i="31" s="1"/>
  <c r="AD2" i="31" a="1"/>
  <c r="AD2" i="31" s="1"/>
  <c r="AG2" i="31" a="1"/>
  <c r="AG2" i="31" s="1"/>
  <c r="AL2" i="31" a="1"/>
  <c r="AL2" i="31" s="1"/>
  <c r="AO2" i="31" a="1"/>
  <c r="AO2" i="31" s="1"/>
  <c r="AT2" i="31" a="1"/>
  <c r="AT2" i="31" s="1"/>
  <c r="AW2" i="31" a="1"/>
  <c r="AW2" i="31" s="1"/>
  <c r="BB2" i="31" a="1"/>
  <c r="BB2" i="31" s="1"/>
  <c r="BE2" i="31" a="1"/>
  <c r="BE2" i="31" s="1"/>
  <c r="BJ2" i="31" a="1"/>
  <c r="BJ2" i="31" s="1"/>
  <c r="BM2" i="31" a="1"/>
  <c r="BM2" i="31" s="1"/>
  <c r="BR2" i="31" a="1"/>
  <c r="BR2" i="31" s="1"/>
  <c r="BU2" i="31" a="1"/>
  <c r="BU2" i="31" s="1"/>
  <c r="BZ2" i="31" a="1"/>
  <c r="BZ2" i="31" s="1"/>
  <c r="CC2" i="31" a="1"/>
  <c r="CC2" i="31" s="1"/>
  <c r="CH2" i="31" a="1"/>
  <c r="CH2" i="31" s="1"/>
  <c r="CK2" i="31" a="1"/>
  <c r="CK2" i="31" s="1"/>
  <c r="CP2" i="31" a="1"/>
  <c r="CP2" i="31" s="1"/>
  <c r="CS2" i="31" a="1"/>
  <c r="CS2" i="31" s="1"/>
  <c r="CX2" i="31" a="1"/>
  <c r="CX2" i="31" s="1"/>
  <c r="DA2" i="31" a="1"/>
  <c r="DA2" i="31" s="1"/>
  <c r="DF2" i="31" a="1"/>
  <c r="DF2" i="31" s="1"/>
  <c r="DI2" i="31" a="1"/>
  <c r="DI2" i="31" s="1"/>
  <c r="DL2" i="31" a="1"/>
  <c r="DL2" i="31" s="1"/>
  <c r="N2" i="31" a="1"/>
  <c r="N2" i="31" s="1"/>
  <c r="P2" i="31" a="1"/>
  <c r="P2" i="31" s="1"/>
  <c r="T2" i="31" a="1"/>
  <c r="T2" i="31" s="1"/>
  <c r="X2" i="31" a="1"/>
  <c r="X2" i="31" s="1"/>
  <c r="AB2" i="31" a="1"/>
  <c r="AB2" i="31" s="1"/>
  <c r="AE2" i="31" a="1"/>
  <c r="AE2" i="31" s="1"/>
  <c r="AJ2" i="31" a="1"/>
  <c r="AJ2" i="31" s="1"/>
  <c r="AM2" i="31" a="1"/>
  <c r="AM2" i="31" s="1"/>
  <c r="AR2" i="31" a="1"/>
  <c r="AR2" i="31" s="1"/>
  <c r="AU2" i="31" a="1"/>
  <c r="AU2" i="31" s="1"/>
  <c r="AZ2" i="31" a="1"/>
  <c r="AZ2" i="31" s="1"/>
  <c r="BC2" i="31" a="1"/>
  <c r="BC2" i="31" s="1"/>
  <c r="BH2" i="31" a="1"/>
  <c r="BH2" i="31" s="1"/>
  <c r="BK2" i="31" a="1"/>
  <c r="BK2" i="31" s="1"/>
  <c r="BP2" i="31" a="1"/>
  <c r="BP2" i="31" s="1"/>
  <c r="BS2" i="31" a="1"/>
  <c r="BS2" i="31" s="1"/>
  <c r="BX2" i="31" a="1"/>
  <c r="BX2" i="31" s="1"/>
  <c r="CA2" i="31" a="1"/>
  <c r="CA2" i="31" s="1"/>
  <c r="CF2" i="31" a="1"/>
  <c r="CF2" i="31" s="1"/>
  <c r="CI2" i="31" a="1"/>
  <c r="CI2" i="31" s="1"/>
  <c r="CN2" i="31" a="1"/>
  <c r="CN2" i="31" s="1"/>
  <c r="CQ2" i="31" a="1"/>
  <c r="CQ2" i="31" s="1"/>
  <c r="CV2" i="31" a="1"/>
  <c r="CV2" i="31" s="1"/>
  <c r="CY2" i="31" a="1"/>
  <c r="CY2" i="31" s="1"/>
  <c r="DD2" i="31" a="1"/>
  <c r="DD2" i="31" s="1"/>
  <c r="DG2" i="31" a="1"/>
  <c r="DG2" i="31" s="1"/>
  <c r="AF11" i="31" a="1"/>
  <c r="AF11" i="31" s="1"/>
  <c r="AA11" i="31" a="1"/>
  <c r="AA11" i="31" s="1"/>
  <c r="X11" i="31" a="1"/>
  <c r="X11" i="31" s="1"/>
  <c r="S11" i="31" a="1"/>
  <c r="S11" i="31" s="1"/>
  <c r="P11" i="31" a="1"/>
  <c r="P11" i="31" s="1"/>
  <c r="K11" i="31" a="1"/>
  <c r="K11" i="31" s="1"/>
  <c r="DT10" i="31" a="1"/>
  <c r="DT10" i="31" s="1"/>
  <c r="DQ10" i="31" a="1"/>
  <c r="DQ10" i="31" s="1"/>
  <c r="DL10" i="31" a="1"/>
  <c r="DL10" i="31" s="1"/>
  <c r="DI10" i="31" a="1"/>
  <c r="DI10" i="31" s="1"/>
  <c r="DD10" i="31" a="1"/>
  <c r="DD10" i="31" s="1"/>
  <c r="DA10" i="31" a="1"/>
  <c r="DA10" i="31" s="1"/>
  <c r="CV10" i="31" a="1"/>
  <c r="CV10" i="31" s="1"/>
  <c r="CS10" i="31" a="1"/>
  <c r="CS10" i="31" s="1"/>
  <c r="CN10" i="31" a="1"/>
  <c r="CN10" i="31" s="1"/>
  <c r="CK10" i="31" a="1"/>
  <c r="CK10" i="31" s="1"/>
  <c r="CF10" i="31" a="1"/>
  <c r="CF10" i="31" s="1"/>
  <c r="CC10" i="31" a="1"/>
  <c r="CC10" i="31" s="1"/>
  <c r="BX10" i="31" a="1"/>
  <c r="BX10" i="31" s="1"/>
  <c r="BU10" i="31" a="1"/>
  <c r="BU10" i="31" s="1"/>
  <c r="BP10" i="31" a="1"/>
  <c r="BP10" i="31" s="1"/>
  <c r="BM10" i="31" a="1"/>
  <c r="BM10" i="31" s="1"/>
  <c r="BH10" i="31" a="1"/>
  <c r="BH10" i="31" s="1"/>
  <c r="BE10" i="31" a="1"/>
  <c r="BE10" i="31" s="1"/>
  <c r="AZ10" i="31" a="1"/>
  <c r="AZ10" i="31" s="1"/>
  <c r="AW10" i="31" a="1"/>
  <c r="AW10" i="31" s="1"/>
  <c r="AR10" i="31" a="1"/>
  <c r="AR10" i="31" s="1"/>
  <c r="AO10" i="31" a="1"/>
  <c r="AO10" i="31" s="1"/>
  <c r="AJ10" i="31" a="1"/>
  <c r="AJ10" i="31" s="1"/>
  <c r="AG10" i="31" a="1"/>
  <c r="AG10" i="31" s="1"/>
  <c r="AB10" i="31" a="1"/>
  <c r="AB10" i="31" s="1"/>
  <c r="Y10" i="31" a="1"/>
  <c r="Y10" i="31" s="1"/>
  <c r="T10" i="31" a="1"/>
  <c r="T10" i="31" s="1"/>
  <c r="Q10" i="31" a="1"/>
  <c r="Q10" i="31" s="1"/>
  <c r="L10" i="31" a="1"/>
  <c r="L10" i="31" s="1"/>
  <c r="DU9" i="31" a="1"/>
  <c r="DU9" i="31" s="1"/>
  <c r="DR9" i="31" a="1"/>
  <c r="DR9" i="31" s="1"/>
  <c r="DM9" i="31" a="1"/>
  <c r="DM9" i="31" s="1"/>
  <c r="DJ9" i="31" a="1"/>
  <c r="DJ9" i="31" s="1"/>
  <c r="DE9" i="31" a="1"/>
  <c r="DE9" i="31" s="1"/>
  <c r="DB9" i="31" a="1"/>
  <c r="DB9" i="31" s="1"/>
  <c r="CW9" i="31" a="1"/>
  <c r="CW9" i="31" s="1"/>
  <c r="CT9" i="31" a="1"/>
  <c r="CT9" i="31" s="1"/>
  <c r="CO9" i="31" a="1"/>
  <c r="CO9" i="31" s="1"/>
  <c r="CL9" i="31" a="1"/>
  <c r="CL9" i="31" s="1"/>
  <c r="CG9" i="31" a="1"/>
  <c r="CG9" i="31" s="1"/>
  <c r="CD9" i="31" a="1"/>
  <c r="CD9" i="31" s="1"/>
  <c r="BY9" i="31" a="1"/>
  <c r="BY9" i="31" s="1"/>
  <c r="BV9" i="31" a="1"/>
  <c r="BV9" i="31" s="1"/>
  <c r="BQ9" i="31" a="1"/>
  <c r="BQ9" i="31" s="1"/>
  <c r="BN9" i="31" a="1"/>
  <c r="BN9" i="31" s="1"/>
  <c r="BI9" i="31" a="1"/>
  <c r="BI9" i="31" s="1"/>
  <c r="BF9" i="31" a="1"/>
  <c r="BF9" i="31" s="1"/>
  <c r="BA9" i="31" a="1"/>
  <c r="BA9" i="31" s="1"/>
  <c r="AX9" i="31" a="1"/>
  <c r="AX9" i="31" s="1"/>
  <c r="AJ11" i="31" a="1"/>
  <c r="AJ11" i="31" s="1"/>
  <c r="AC11" i="31" a="1"/>
  <c r="AC11" i="31" s="1"/>
  <c r="Z11" i="31" a="1"/>
  <c r="Z11" i="31" s="1"/>
  <c r="U11" i="31" a="1"/>
  <c r="U11" i="31" s="1"/>
  <c r="R11" i="31" a="1"/>
  <c r="R11" i="31" s="1"/>
  <c r="M11" i="31" a="1"/>
  <c r="M11" i="31" s="1"/>
  <c r="DV10" i="31" a="1"/>
  <c r="DV10" i="31" s="1"/>
  <c r="DS10" i="31" a="1"/>
  <c r="DS10" i="31" s="1"/>
  <c r="DN10" i="31" a="1"/>
  <c r="DN10" i="31" s="1"/>
  <c r="DK10" i="31" a="1"/>
  <c r="DK10" i="31" s="1"/>
  <c r="DF10" i="31" a="1"/>
  <c r="DF10" i="31" s="1"/>
  <c r="DC10" i="31" a="1"/>
  <c r="DC10" i="31" s="1"/>
  <c r="CX10" i="31" a="1"/>
  <c r="CX10" i="31" s="1"/>
  <c r="CU10" i="31" a="1"/>
  <c r="CU10" i="31" s="1"/>
  <c r="CP10" i="31" a="1"/>
  <c r="CP10" i="31" s="1"/>
  <c r="CM10" i="31" a="1"/>
  <c r="CM10" i="31" s="1"/>
  <c r="CH10" i="31" a="1"/>
  <c r="CH10" i="31" s="1"/>
  <c r="CE10" i="31" a="1"/>
  <c r="CE10" i="31" s="1"/>
  <c r="BZ10" i="31" a="1"/>
  <c r="BZ10" i="31" s="1"/>
  <c r="BW10" i="31" a="1"/>
  <c r="BW10" i="31" s="1"/>
  <c r="BR10" i="31" a="1"/>
  <c r="BR10" i="31" s="1"/>
  <c r="BO10" i="31" a="1"/>
  <c r="BO10" i="31" s="1"/>
  <c r="BJ10" i="31" a="1"/>
  <c r="BJ10" i="31" s="1"/>
  <c r="BG10" i="31" a="1"/>
  <c r="BG10" i="31" s="1"/>
  <c r="BB10" i="31" a="1"/>
  <c r="BB10" i="31" s="1"/>
  <c r="AY10" i="31" a="1"/>
  <c r="AY10" i="31" s="1"/>
  <c r="AT10" i="31" a="1"/>
  <c r="AT10" i="31" s="1"/>
  <c r="AQ10" i="31" a="1"/>
  <c r="AQ10" i="31" s="1"/>
  <c r="AL10" i="31" a="1"/>
  <c r="AL10" i="31" s="1"/>
  <c r="AI10" i="31" a="1"/>
  <c r="AI10" i="31" s="1"/>
  <c r="AD10" i="31" a="1"/>
  <c r="AD10" i="31" s="1"/>
  <c r="AA10" i="31" a="1"/>
  <c r="AA10" i="31" s="1"/>
  <c r="V10" i="31" a="1"/>
  <c r="V10" i="31" s="1"/>
  <c r="S10" i="31" a="1"/>
  <c r="S10" i="31" s="1"/>
  <c r="N10" i="31" a="1"/>
  <c r="N10" i="31" s="1"/>
  <c r="K10" i="31" a="1"/>
  <c r="K10" i="31" s="1"/>
  <c r="DW9" i="31" a="1"/>
  <c r="DW9" i="31" s="1"/>
  <c r="DT9" i="31" a="1"/>
  <c r="DT9" i="31" s="1"/>
  <c r="DO9" i="31" a="1"/>
  <c r="DO9" i="31" s="1"/>
  <c r="DL9" i="31" a="1"/>
  <c r="DL9" i="31" s="1"/>
  <c r="DG9" i="31" a="1"/>
  <c r="DG9" i="31" s="1"/>
  <c r="DD9" i="31" a="1"/>
  <c r="DD9" i="31" s="1"/>
  <c r="CY9" i="31" a="1"/>
  <c r="CY9" i="31" s="1"/>
  <c r="CV9" i="31" a="1"/>
  <c r="CV9" i="31" s="1"/>
  <c r="CQ9" i="31" a="1"/>
  <c r="CQ9" i="31" s="1"/>
  <c r="CN9" i="31" a="1"/>
  <c r="CN9" i="31" s="1"/>
  <c r="CI9" i="31" a="1"/>
  <c r="CI9" i="31" s="1"/>
  <c r="CF9" i="31" a="1"/>
  <c r="CF9" i="31" s="1"/>
  <c r="CA9" i="31" a="1"/>
  <c r="CA9" i="31" s="1"/>
  <c r="BX9" i="31" a="1"/>
  <c r="BX9" i="31" s="1"/>
  <c r="BS9" i="31" a="1"/>
  <c r="BS9" i="31" s="1"/>
  <c r="BP9" i="31" a="1"/>
  <c r="BP9" i="31" s="1"/>
  <c r="BK9" i="31" a="1"/>
  <c r="BK9" i="31" s="1"/>
  <c r="BH9" i="31" a="1"/>
  <c r="BH9" i="31" s="1"/>
  <c r="AH11" i="31" a="1"/>
  <c r="AH11" i="31" s="1"/>
  <c r="AE11" i="31" a="1"/>
  <c r="AE11" i="31" s="1"/>
  <c r="AB11" i="31" a="1"/>
  <c r="AB11" i="31" s="1"/>
  <c r="W11" i="31" a="1"/>
  <c r="W11" i="31" s="1"/>
  <c r="T11" i="31" a="1"/>
  <c r="T11" i="31" s="1"/>
  <c r="O11" i="31" a="1"/>
  <c r="O11" i="31" s="1"/>
  <c r="L11" i="31" a="1"/>
  <c r="L11" i="31" s="1"/>
  <c r="DU10" i="31" a="1"/>
  <c r="DU10" i="31" s="1"/>
  <c r="DP10" i="31" a="1"/>
  <c r="DP10" i="31" s="1"/>
  <c r="DM10" i="31" a="1"/>
  <c r="DM10" i="31" s="1"/>
  <c r="DH10" i="31" a="1"/>
  <c r="DH10" i="31" s="1"/>
  <c r="DE10" i="31" a="1"/>
  <c r="DE10" i="31" s="1"/>
  <c r="CZ10" i="31" a="1"/>
  <c r="CZ10" i="31" s="1"/>
  <c r="CW10" i="31" a="1"/>
  <c r="CW10" i="31" s="1"/>
  <c r="CR10" i="31" a="1"/>
  <c r="CR10" i="31" s="1"/>
  <c r="CO10" i="31" a="1"/>
  <c r="CO10" i="31" s="1"/>
  <c r="CJ10" i="31" a="1"/>
  <c r="CJ10" i="31" s="1"/>
  <c r="CG10" i="31" a="1"/>
  <c r="CG10" i="31" s="1"/>
  <c r="CB10" i="31" a="1"/>
  <c r="CB10" i="31" s="1"/>
  <c r="BY10" i="31" a="1"/>
  <c r="BY10" i="31" s="1"/>
  <c r="BT10" i="31" a="1"/>
  <c r="BT10" i="31" s="1"/>
  <c r="BQ10" i="31" a="1"/>
  <c r="BQ10" i="31" s="1"/>
  <c r="BL10" i="31" a="1"/>
  <c r="BL10" i="31" s="1"/>
  <c r="BI10" i="31" a="1"/>
  <c r="BI10" i="31" s="1"/>
  <c r="BD10" i="31" a="1"/>
  <c r="BD10" i="31" s="1"/>
  <c r="BA10" i="31" a="1"/>
  <c r="BA10" i="31" s="1"/>
  <c r="AV10" i="31" a="1"/>
  <c r="AV10" i="31" s="1"/>
  <c r="AS10" i="31" a="1"/>
  <c r="AS10" i="31" s="1"/>
  <c r="AN10" i="31" a="1"/>
  <c r="AN10" i="31" s="1"/>
  <c r="AK10" i="31" a="1"/>
  <c r="AK10" i="31" s="1"/>
  <c r="AF10" i="31" a="1"/>
  <c r="AF10" i="31" s="1"/>
  <c r="AC10" i="31" a="1"/>
  <c r="AC10" i="31" s="1"/>
  <c r="X10" i="31" a="1"/>
  <c r="X10" i="31" s="1"/>
  <c r="U10" i="31" a="1"/>
  <c r="U10" i="31" s="1"/>
  <c r="P10" i="31" a="1"/>
  <c r="P10" i="31" s="1"/>
  <c r="M10" i="31" a="1"/>
  <c r="M10" i="31" s="1"/>
  <c r="DV9" i="31" a="1"/>
  <c r="DV9" i="31" s="1"/>
  <c r="DQ9" i="31" a="1"/>
  <c r="DQ9" i="31" s="1"/>
  <c r="DN9" i="31" a="1"/>
  <c r="DN9" i="31" s="1"/>
  <c r="DI9" i="31" a="1"/>
  <c r="DI9" i="31" s="1"/>
  <c r="DF9" i="31" a="1"/>
  <c r="DF9" i="31" s="1"/>
  <c r="DA9" i="31" a="1"/>
  <c r="DA9" i="31" s="1"/>
  <c r="CX9" i="31" a="1"/>
  <c r="CX9" i="31" s="1"/>
  <c r="CS9" i="31" a="1"/>
  <c r="CS9" i="31" s="1"/>
  <c r="CP9" i="31" a="1"/>
  <c r="CP9" i="31" s="1"/>
  <c r="CK9" i="31" a="1"/>
  <c r="CK9" i="31" s="1"/>
  <c r="CH9" i="31" a="1"/>
  <c r="CH9" i="31" s="1"/>
  <c r="CC9" i="31" a="1"/>
  <c r="CC9" i="31" s="1"/>
  <c r="BZ9" i="31" a="1"/>
  <c r="BZ9" i="31" s="1"/>
  <c r="BU9" i="31" a="1"/>
  <c r="BU9" i="31" s="1"/>
  <c r="BR9" i="31" a="1"/>
  <c r="BR9" i="31" s="1"/>
  <c r="BM9" i="31" a="1"/>
  <c r="BM9" i="31" s="1"/>
  <c r="BJ9" i="31" a="1"/>
  <c r="BJ9" i="31" s="1"/>
  <c r="BE9" i="31" a="1"/>
  <c r="BE9" i="31" s="1"/>
  <c r="BB9" i="31" a="1"/>
  <c r="BB9" i="31" s="1"/>
  <c r="AD11" i="31" a="1"/>
  <c r="AD11" i="31" s="1"/>
  <c r="Y11" i="31" a="1"/>
  <c r="Y11" i="31" s="1"/>
  <c r="V11" i="31" a="1"/>
  <c r="V11" i="31" s="1"/>
  <c r="Q11" i="31" a="1"/>
  <c r="Q11" i="31" s="1"/>
  <c r="N11" i="31" a="1"/>
  <c r="N11" i="31" s="1"/>
  <c r="DW10" i="31" a="1"/>
  <c r="DW10" i="31" s="1"/>
  <c r="DR10" i="31" a="1"/>
  <c r="DR10" i="31" s="1"/>
  <c r="DO10" i="31" a="1"/>
  <c r="DO10" i="31" s="1"/>
  <c r="DJ10" i="31" a="1"/>
  <c r="DJ10" i="31" s="1"/>
  <c r="DG10" i="31" a="1"/>
  <c r="DG10" i="31" s="1"/>
  <c r="DB10" i="31" a="1"/>
  <c r="DB10" i="31" s="1"/>
  <c r="CY10" i="31" a="1"/>
  <c r="CY10" i="31" s="1"/>
  <c r="CT10" i="31" a="1"/>
  <c r="CT10" i="31" s="1"/>
  <c r="CQ10" i="31" a="1"/>
  <c r="CQ10" i="31" s="1"/>
  <c r="CL10" i="31" a="1"/>
  <c r="CL10" i="31" s="1"/>
  <c r="CI10" i="31" a="1"/>
  <c r="CI10" i="31" s="1"/>
  <c r="CD10" i="31" a="1"/>
  <c r="CD10" i="31" s="1"/>
  <c r="CA10" i="31" a="1"/>
  <c r="CA10" i="31" s="1"/>
  <c r="BV10" i="31" a="1"/>
  <c r="BV10" i="31" s="1"/>
  <c r="BS10" i="31" a="1"/>
  <c r="BS10" i="31" s="1"/>
  <c r="BN10" i="31" a="1"/>
  <c r="BN10" i="31" s="1"/>
  <c r="BK10" i="31" a="1"/>
  <c r="BK10" i="31" s="1"/>
  <c r="BF10" i="31" a="1"/>
  <c r="BF10" i="31" s="1"/>
  <c r="BC10" i="31" a="1"/>
  <c r="BC10" i="31" s="1"/>
  <c r="AX10" i="31" a="1"/>
  <c r="AX10" i="31" s="1"/>
  <c r="AU10" i="31" a="1"/>
  <c r="AU10" i="31" s="1"/>
  <c r="AP10" i="31" a="1"/>
  <c r="AP10" i="31" s="1"/>
  <c r="AM10" i="31" a="1"/>
  <c r="AM10" i="31" s="1"/>
  <c r="AH10" i="31" a="1"/>
  <c r="AH10" i="31" s="1"/>
  <c r="AE10" i="31" a="1"/>
  <c r="AE10" i="31" s="1"/>
  <c r="Z10" i="31" a="1"/>
  <c r="Z10" i="31" s="1"/>
  <c r="W10" i="31" a="1"/>
  <c r="W10" i="31" s="1"/>
  <c r="R10" i="31" a="1"/>
  <c r="R10" i="31" s="1"/>
  <c r="O10" i="31" a="1"/>
  <c r="O10" i="31" s="1"/>
  <c r="DS9" i="31" a="1"/>
  <c r="DS9" i="31" s="1"/>
  <c r="DP9" i="31" a="1"/>
  <c r="DP9" i="31" s="1"/>
  <c r="DK9" i="31" a="1"/>
  <c r="DK9" i="31" s="1"/>
  <c r="DH9" i="31" a="1"/>
  <c r="DH9" i="31" s="1"/>
  <c r="DC9" i="31" a="1"/>
  <c r="DC9" i="31" s="1"/>
  <c r="CZ9" i="31" a="1"/>
  <c r="CZ9" i="31" s="1"/>
  <c r="CU9" i="31" a="1"/>
  <c r="CU9" i="31" s="1"/>
  <c r="CR9" i="31" a="1"/>
  <c r="CR9" i="31" s="1"/>
  <c r="CM9" i="31" a="1"/>
  <c r="CM9" i="31" s="1"/>
  <c r="CJ9" i="31" a="1"/>
  <c r="CJ9" i="31" s="1"/>
  <c r="CE9" i="31" a="1"/>
  <c r="CE9" i="31" s="1"/>
  <c r="CB9" i="31" a="1"/>
  <c r="CB9" i="31" s="1"/>
  <c r="BW9" i="31" a="1"/>
  <c r="BW9" i="31" s="1"/>
  <c r="BT9" i="31" a="1"/>
  <c r="BT9" i="31" s="1"/>
  <c r="BO9" i="31" a="1"/>
  <c r="BO9" i="31" s="1"/>
  <c r="BL9" i="31" a="1"/>
  <c r="BL9" i="31" s="1"/>
  <c r="BG9" i="31" a="1"/>
  <c r="BG9" i="31" s="1"/>
  <c r="BD9" i="31" a="1"/>
  <c r="BD9" i="31" s="1"/>
  <c r="AY9" i="31" a="1"/>
  <c r="AY9" i="31" s="1"/>
  <c r="AS9" i="31" a="1"/>
  <c r="AS9" i="31" s="1"/>
  <c r="AP9" i="31" a="1"/>
  <c r="AP9" i="31" s="1"/>
  <c r="AK9" i="31" a="1"/>
  <c r="AK9" i="31" s="1"/>
  <c r="AH9" i="31" a="1"/>
  <c r="AH9" i="31" s="1"/>
  <c r="AC9" i="31" a="1"/>
  <c r="AC9" i="31" s="1"/>
  <c r="Z9" i="31" a="1"/>
  <c r="Z9" i="31" s="1"/>
  <c r="U9" i="31" a="1"/>
  <c r="U9" i="31" s="1"/>
  <c r="R9" i="31" a="1"/>
  <c r="R9" i="31" s="1"/>
  <c r="M9" i="31" a="1"/>
  <c r="M9" i="31" s="1"/>
  <c r="DV8" i="31" a="1"/>
  <c r="DV8" i="31" s="1"/>
  <c r="DS8" i="31" a="1"/>
  <c r="DS8" i="31" s="1"/>
  <c r="DN8" i="31" a="1"/>
  <c r="DN8" i="31" s="1"/>
  <c r="DK8" i="31" a="1"/>
  <c r="DK8" i="31" s="1"/>
  <c r="DF8" i="31" a="1"/>
  <c r="DF8" i="31" s="1"/>
  <c r="DC8" i="31" a="1"/>
  <c r="DC8" i="31" s="1"/>
  <c r="CX8" i="31" a="1"/>
  <c r="CX8" i="31" s="1"/>
  <c r="CU8" i="31" a="1"/>
  <c r="CU8" i="31" s="1"/>
  <c r="CP8" i="31" a="1"/>
  <c r="CP8" i="31" s="1"/>
  <c r="CM8" i="31" a="1"/>
  <c r="CM8" i="31" s="1"/>
  <c r="CH8" i="31" a="1"/>
  <c r="CH8" i="31" s="1"/>
  <c r="CE8" i="31" a="1"/>
  <c r="CE8" i="31" s="1"/>
  <c r="BZ8" i="31" a="1"/>
  <c r="BZ8" i="31" s="1"/>
  <c r="BW8" i="31" a="1"/>
  <c r="BW8" i="31" s="1"/>
  <c r="BR8" i="31" a="1"/>
  <c r="BR8" i="31" s="1"/>
  <c r="BO8" i="31" a="1"/>
  <c r="BO8" i="31" s="1"/>
  <c r="BJ8" i="31" a="1"/>
  <c r="BJ8" i="31" s="1"/>
  <c r="BG8" i="31" a="1"/>
  <c r="BG8" i="31" s="1"/>
  <c r="BB8" i="31" a="1"/>
  <c r="BB8" i="31" s="1"/>
  <c r="AY8" i="31" a="1"/>
  <c r="AY8" i="31" s="1"/>
  <c r="AT8" i="31" a="1"/>
  <c r="AT8" i="31" s="1"/>
  <c r="AQ8" i="31" a="1"/>
  <c r="AQ8" i="31" s="1"/>
  <c r="AL8" i="31" a="1"/>
  <c r="AL8" i="31" s="1"/>
  <c r="AI8" i="31" a="1"/>
  <c r="AI8" i="31" s="1"/>
  <c r="AD8" i="31" a="1"/>
  <c r="AD8" i="31" s="1"/>
  <c r="AA8" i="31" a="1"/>
  <c r="AA8" i="31" s="1"/>
  <c r="V8" i="31" a="1"/>
  <c r="V8" i="31" s="1"/>
  <c r="S8" i="31" a="1"/>
  <c r="S8" i="31" s="1"/>
  <c r="N8" i="31" a="1"/>
  <c r="N8" i="31" s="1"/>
  <c r="K8" i="31" a="1"/>
  <c r="K8" i="31" s="1"/>
  <c r="DW7" i="31" a="1"/>
  <c r="DW7" i="31" s="1"/>
  <c r="DT7" i="31" a="1"/>
  <c r="DT7" i="31" s="1"/>
  <c r="DO7" i="31" a="1"/>
  <c r="DO7" i="31" s="1"/>
  <c r="DL7" i="31" a="1"/>
  <c r="DL7" i="31" s="1"/>
  <c r="DG7" i="31" a="1"/>
  <c r="DG7" i="31" s="1"/>
  <c r="DD7" i="31" a="1"/>
  <c r="DD7" i="31" s="1"/>
  <c r="CY7" i="31" a="1"/>
  <c r="CY7" i="31" s="1"/>
  <c r="CV7" i="31" a="1"/>
  <c r="CV7" i="31" s="1"/>
  <c r="CQ7" i="31" a="1"/>
  <c r="CQ7" i="31" s="1"/>
  <c r="CN7" i="31" a="1"/>
  <c r="CN7" i="31" s="1"/>
  <c r="CI7" i="31" a="1"/>
  <c r="CI7" i="31" s="1"/>
  <c r="CF7" i="31" a="1"/>
  <c r="CF7" i="31" s="1"/>
  <c r="CA7" i="31" a="1"/>
  <c r="CA7" i="31" s="1"/>
  <c r="BX7" i="31" a="1"/>
  <c r="BX7" i="31" s="1"/>
  <c r="BS7" i="31" a="1"/>
  <c r="BS7" i="31" s="1"/>
  <c r="AU9" i="31" a="1"/>
  <c r="AU9" i="31" s="1"/>
  <c r="AR9" i="31" a="1"/>
  <c r="AR9" i="31" s="1"/>
  <c r="AM9" i="31" a="1"/>
  <c r="AM9" i="31" s="1"/>
  <c r="AJ9" i="31" a="1"/>
  <c r="AJ9" i="31" s="1"/>
  <c r="AE9" i="31" a="1"/>
  <c r="AE9" i="31" s="1"/>
  <c r="AB9" i="31" a="1"/>
  <c r="AB9" i="31" s="1"/>
  <c r="W9" i="31" a="1"/>
  <c r="W9" i="31" s="1"/>
  <c r="T9" i="31" a="1"/>
  <c r="T9" i="31" s="1"/>
  <c r="O9" i="31" a="1"/>
  <c r="O9" i="31" s="1"/>
  <c r="L9" i="31" a="1"/>
  <c r="L9" i="31" s="1"/>
  <c r="DU8" i="31" a="1"/>
  <c r="DU8" i="31" s="1"/>
  <c r="DP8" i="31" a="1"/>
  <c r="DP8" i="31" s="1"/>
  <c r="DM8" i="31" a="1"/>
  <c r="DM8" i="31" s="1"/>
  <c r="DH8" i="31" a="1"/>
  <c r="DH8" i="31" s="1"/>
  <c r="DE8" i="31" a="1"/>
  <c r="DE8" i="31" s="1"/>
  <c r="CZ8" i="31" a="1"/>
  <c r="CZ8" i="31" s="1"/>
  <c r="CW8" i="31" a="1"/>
  <c r="CW8" i="31" s="1"/>
  <c r="CR8" i="31" a="1"/>
  <c r="CR8" i="31" s="1"/>
  <c r="CO8" i="31" a="1"/>
  <c r="CO8" i="31" s="1"/>
  <c r="CJ8" i="31" a="1"/>
  <c r="CJ8" i="31" s="1"/>
  <c r="CG8" i="31" a="1"/>
  <c r="CG8" i="31" s="1"/>
  <c r="CB8" i="31" a="1"/>
  <c r="CB8" i="31" s="1"/>
  <c r="BY8" i="31" a="1"/>
  <c r="BY8" i="31" s="1"/>
  <c r="BT8" i="31" a="1"/>
  <c r="BT8" i="31" s="1"/>
  <c r="BQ8" i="31" a="1"/>
  <c r="BQ8" i="31" s="1"/>
  <c r="BL8" i="31" a="1"/>
  <c r="BL8" i="31" s="1"/>
  <c r="BI8" i="31" a="1"/>
  <c r="BI8" i="31" s="1"/>
  <c r="BD8" i="31" a="1"/>
  <c r="BD8" i="31" s="1"/>
  <c r="BA8" i="31" a="1"/>
  <c r="BA8" i="31" s="1"/>
  <c r="AV8" i="31" a="1"/>
  <c r="AV8" i="31" s="1"/>
  <c r="AS8" i="31" a="1"/>
  <c r="AS8" i="31" s="1"/>
  <c r="AN8" i="31" a="1"/>
  <c r="AN8" i="31" s="1"/>
  <c r="AK8" i="31" a="1"/>
  <c r="AK8" i="31" s="1"/>
  <c r="AF8" i="31" a="1"/>
  <c r="AF8" i="31" s="1"/>
  <c r="AC8" i="31" a="1"/>
  <c r="AC8" i="31" s="1"/>
  <c r="X8" i="31" a="1"/>
  <c r="X8" i="31" s="1"/>
  <c r="U8" i="31" a="1"/>
  <c r="U8" i="31" s="1"/>
  <c r="P8" i="31" a="1"/>
  <c r="P8" i="31" s="1"/>
  <c r="M8" i="31" a="1"/>
  <c r="M8" i="31" s="1"/>
  <c r="DV7" i="31" a="1"/>
  <c r="DV7" i="31" s="1"/>
  <c r="DQ7" i="31" a="1"/>
  <c r="DQ7" i="31" s="1"/>
  <c r="DN7" i="31" a="1"/>
  <c r="DN7" i="31" s="1"/>
  <c r="DI7" i="31" a="1"/>
  <c r="DI7" i="31" s="1"/>
  <c r="DF7" i="31" a="1"/>
  <c r="DF7" i="31" s="1"/>
  <c r="DA7" i="31" a="1"/>
  <c r="DA7" i="31" s="1"/>
  <c r="CX7" i="31" a="1"/>
  <c r="CX7" i="31" s="1"/>
  <c r="CS7" i="31" a="1"/>
  <c r="CS7" i="31" s="1"/>
  <c r="CP7" i="31" a="1"/>
  <c r="CP7" i="31" s="1"/>
  <c r="CK7" i="31" a="1"/>
  <c r="CK7" i="31" s="1"/>
  <c r="CH7" i="31" a="1"/>
  <c r="CH7" i="31" s="1"/>
  <c r="CC7" i="31" a="1"/>
  <c r="CC7" i="31" s="1"/>
  <c r="BZ7" i="31" a="1"/>
  <c r="BZ7" i="31" s="1"/>
  <c r="BU7" i="31" a="1"/>
  <c r="BU7" i="31" s="1"/>
  <c r="BR7" i="31" a="1"/>
  <c r="BR7" i="31" s="1"/>
  <c r="BC9" i="31" a="1"/>
  <c r="BC9" i="31" s="1"/>
  <c r="AW9" i="31" a="1"/>
  <c r="AW9" i="31" s="1"/>
  <c r="AT9" i="31" a="1"/>
  <c r="AT9" i="31" s="1"/>
  <c r="AO9" i="31" a="1"/>
  <c r="AO9" i="31" s="1"/>
  <c r="AL9" i="31" a="1"/>
  <c r="AL9" i="31" s="1"/>
  <c r="AG9" i="31" a="1"/>
  <c r="AG9" i="31" s="1"/>
  <c r="AD9" i="31" a="1"/>
  <c r="AD9" i="31" s="1"/>
  <c r="Y9" i="31" a="1"/>
  <c r="Y9" i="31" s="1"/>
  <c r="V9" i="31" a="1"/>
  <c r="V9" i="31" s="1"/>
  <c r="Q9" i="31" a="1"/>
  <c r="Q9" i="31" s="1"/>
  <c r="N9" i="31" a="1"/>
  <c r="N9" i="31" s="1"/>
  <c r="DW8" i="31" a="1"/>
  <c r="DW8" i="31" s="1"/>
  <c r="DR8" i="31" a="1"/>
  <c r="DR8" i="31" s="1"/>
  <c r="DO8" i="31" a="1"/>
  <c r="DO8" i="31" s="1"/>
  <c r="DJ8" i="31" a="1"/>
  <c r="DJ8" i="31" s="1"/>
  <c r="DG8" i="31" a="1"/>
  <c r="DG8" i="31" s="1"/>
  <c r="DB8" i="31" a="1"/>
  <c r="DB8" i="31" s="1"/>
  <c r="CY8" i="31" a="1"/>
  <c r="CY8" i="31" s="1"/>
  <c r="CT8" i="31" a="1"/>
  <c r="CT8" i="31" s="1"/>
  <c r="CQ8" i="31" a="1"/>
  <c r="CQ8" i="31" s="1"/>
  <c r="CL8" i="31" a="1"/>
  <c r="CL8" i="31" s="1"/>
  <c r="CI8" i="31" a="1"/>
  <c r="CI8" i="31" s="1"/>
  <c r="CD8" i="31" a="1"/>
  <c r="CD8" i="31" s="1"/>
  <c r="CA8" i="31" a="1"/>
  <c r="CA8" i="31" s="1"/>
  <c r="BV8" i="31" a="1"/>
  <c r="BV8" i="31" s="1"/>
  <c r="BS8" i="31" a="1"/>
  <c r="BS8" i="31" s="1"/>
  <c r="BN8" i="31" a="1"/>
  <c r="BN8" i="31" s="1"/>
  <c r="BK8" i="31" a="1"/>
  <c r="BK8" i="31" s="1"/>
  <c r="BF8" i="31" a="1"/>
  <c r="BF8" i="31" s="1"/>
  <c r="BC8" i="31" a="1"/>
  <c r="BC8" i="31" s="1"/>
  <c r="AX8" i="31" a="1"/>
  <c r="AX8" i="31" s="1"/>
  <c r="AU8" i="31" a="1"/>
  <c r="AU8" i="31" s="1"/>
  <c r="AP8" i="31" a="1"/>
  <c r="AP8" i="31" s="1"/>
  <c r="AM8" i="31" a="1"/>
  <c r="AM8" i="31" s="1"/>
  <c r="AH8" i="31" a="1"/>
  <c r="AH8" i="31" s="1"/>
  <c r="AE8" i="31" a="1"/>
  <c r="AE8" i="31" s="1"/>
  <c r="Z8" i="31" a="1"/>
  <c r="Z8" i="31" s="1"/>
  <c r="W8" i="31" a="1"/>
  <c r="W8" i="31" s="1"/>
  <c r="R8" i="31" a="1"/>
  <c r="R8" i="31" s="1"/>
  <c r="O8" i="31" a="1"/>
  <c r="O8" i="31" s="1"/>
  <c r="DS7" i="31" a="1"/>
  <c r="DS7" i="31" s="1"/>
  <c r="DP7" i="31" a="1"/>
  <c r="DP7" i="31" s="1"/>
  <c r="DK7" i="31" a="1"/>
  <c r="DK7" i="31" s="1"/>
  <c r="DH7" i="31" a="1"/>
  <c r="DH7" i="31" s="1"/>
  <c r="DC7" i="31" a="1"/>
  <c r="DC7" i="31" s="1"/>
  <c r="CZ7" i="31" a="1"/>
  <c r="CZ7" i="31" s="1"/>
  <c r="CU7" i="31" a="1"/>
  <c r="CU7" i="31" s="1"/>
  <c r="CR7" i="31" a="1"/>
  <c r="CR7" i="31" s="1"/>
  <c r="CM7" i="31" a="1"/>
  <c r="CM7" i="31" s="1"/>
  <c r="CJ7" i="31" a="1"/>
  <c r="CJ7" i="31" s="1"/>
  <c r="CE7" i="31" a="1"/>
  <c r="CE7" i="31" s="1"/>
  <c r="CB7" i="31" a="1"/>
  <c r="CB7" i="31" s="1"/>
  <c r="BW7" i="31" a="1"/>
  <c r="BW7" i="31" s="1"/>
  <c r="BT7" i="31" a="1"/>
  <c r="BT7" i="31" s="1"/>
  <c r="AZ9" i="31" a="1"/>
  <c r="AZ9" i="31" s="1"/>
  <c r="AV9" i="31" a="1"/>
  <c r="AV9" i="31" s="1"/>
  <c r="AQ9" i="31" a="1"/>
  <c r="AQ9" i="31" s="1"/>
  <c r="AN9" i="31" a="1"/>
  <c r="AN9" i="31" s="1"/>
  <c r="AI9" i="31" a="1"/>
  <c r="AI9" i="31" s="1"/>
  <c r="AF9" i="31" a="1"/>
  <c r="AF9" i="31" s="1"/>
  <c r="AA9" i="31" a="1"/>
  <c r="AA9" i="31" s="1"/>
  <c r="X9" i="31" a="1"/>
  <c r="X9" i="31" s="1"/>
  <c r="S9" i="31" a="1"/>
  <c r="S9" i="31" s="1"/>
  <c r="P9" i="31" a="1"/>
  <c r="P9" i="31" s="1"/>
  <c r="K9" i="31" a="1"/>
  <c r="K9" i="31" s="1"/>
  <c r="DT8" i="31" a="1"/>
  <c r="DT8" i="31" s="1"/>
  <c r="DQ8" i="31" a="1"/>
  <c r="DQ8" i="31" s="1"/>
  <c r="DL8" i="31" a="1"/>
  <c r="DL8" i="31" s="1"/>
  <c r="DI8" i="31" a="1"/>
  <c r="DI8" i="31" s="1"/>
  <c r="DD8" i="31" a="1"/>
  <c r="DD8" i="31" s="1"/>
  <c r="DA8" i="31" a="1"/>
  <c r="DA8" i="31" s="1"/>
  <c r="CV8" i="31" a="1"/>
  <c r="CV8" i="31" s="1"/>
  <c r="CS8" i="31" a="1"/>
  <c r="CS8" i="31" s="1"/>
  <c r="CN8" i="31" a="1"/>
  <c r="CN8" i="31" s="1"/>
  <c r="CK8" i="31" a="1"/>
  <c r="CK8" i="31" s="1"/>
  <c r="CF8" i="31" a="1"/>
  <c r="CF8" i="31" s="1"/>
  <c r="CC8" i="31" a="1"/>
  <c r="CC8" i="31" s="1"/>
  <c r="BX8" i="31" a="1"/>
  <c r="BX8" i="31" s="1"/>
  <c r="BU8" i="31" a="1"/>
  <c r="BU8" i="31" s="1"/>
  <c r="BP8" i="31" a="1"/>
  <c r="BP8" i="31" s="1"/>
  <c r="BM8" i="31" a="1"/>
  <c r="BM8" i="31" s="1"/>
  <c r="BH8" i="31" a="1"/>
  <c r="BH8" i="31" s="1"/>
  <c r="BE8" i="31" a="1"/>
  <c r="BE8" i="31" s="1"/>
  <c r="AZ8" i="31" a="1"/>
  <c r="AZ8" i="31" s="1"/>
  <c r="AW8" i="31" a="1"/>
  <c r="AW8" i="31" s="1"/>
  <c r="AR8" i="31" a="1"/>
  <c r="AR8" i="31" s="1"/>
  <c r="AO8" i="31" a="1"/>
  <c r="AO8" i="31" s="1"/>
  <c r="AJ8" i="31" a="1"/>
  <c r="AJ8" i="31" s="1"/>
  <c r="AG8" i="31" a="1"/>
  <c r="AG8" i="31" s="1"/>
  <c r="AB8" i="31" a="1"/>
  <c r="AB8" i="31" s="1"/>
  <c r="Y8" i="31" a="1"/>
  <c r="Y8" i="31" s="1"/>
  <c r="T8" i="31" a="1"/>
  <c r="T8" i="31" s="1"/>
  <c r="Q8" i="31" a="1"/>
  <c r="Q8" i="31" s="1"/>
  <c r="L8" i="31" a="1"/>
  <c r="L8" i="31" s="1"/>
  <c r="DU7" i="31" a="1"/>
  <c r="DU7" i="31" s="1"/>
  <c r="DR7" i="31" a="1"/>
  <c r="DR7" i="31" s="1"/>
  <c r="DM7" i="31" a="1"/>
  <c r="DM7" i="31" s="1"/>
  <c r="DJ7" i="31" a="1"/>
  <c r="DJ7" i="31" s="1"/>
  <c r="DE7" i="31" a="1"/>
  <c r="DE7" i="31" s="1"/>
  <c r="DB7" i="31" a="1"/>
  <c r="DB7" i="31" s="1"/>
  <c r="CW7" i="31" a="1"/>
  <c r="CW7" i="31" s="1"/>
  <c r="CT7" i="31" a="1"/>
  <c r="CT7" i="31" s="1"/>
  <c r="CO7" i="31" a="1"/>
  <c r="CO7" i="31" s="1"/>
  <c r="CL7" i="31" a="1"/>
  <c r="CL7" i="31" s="1"/>
  <c r="CG7" i="31" a="1"/>
  <c r="CG7" i="31" s="1"/>
  <c r="CD7" i="31" a="1"/>
  <c r="CD7" i="31" s="1"/>
  <c r="BY7" i="31" a="1"/>
  <c r="BY7" i="31" s="1"/>
  <c r="BV7" i="31" a="1"/>
  <c r="BV7" i="31" s="1"/>
  <c r="BQ7" i="31" a="1"/>
  <c r="BQ7" i="31" s="1"/>
  <c r="BN7" i="31" a="1"/>
  <c r="BN7" i="31" s="1"/>
  <c r="BO7" i="31" a="1"/>
  <c r="BO7" i="31" s="1"/>
  <c r="BI7" i="31" a="1"/>
  <c r="BI7" i="31" s="1"/>
  <c r="BF7" i="31" a="1"/>
  <c r="BF7" i="31" s="1"/>
  <c r="BA7" i="31" a="1"/>
  <c r="BA7" i="31" s="1"/>
  <c r="AX7" i="31" a="1"/>
  <c r="AX7" i="31" s="1"/>
  <c r="AS7" i="31" a="1"/>
  <c r="AS7" i="31" s="1"/>
  <c r="AP7" i="31" a="1"/>
  <c r="AP7" i="31" s="1"/>
  <c r="AK7" i="31" a="1"/>
  <c r="AK7" i="31" s="1"/>
  <c r="AH7" i="31" a="1"/>
  <c r="AH7" i="31" s="1"/>
  <c r="AC7" i="31" a="1"/>
  <c r="AC7" i="31" s="1"/>
  <c r="Z7" i="31" a="1"/>
  <c r="Z7" i="31" s="1"/>
  <c r="U7" i="31" a="1"/>
  <c r="U7" i="31" s="1"/>
  <c r="R7" i="31" a="1"/>
  <c r="R7" i="31" s="1"/>
  <c r="M7" i="31" a="1"/>
  <c r="M7" i="31" s="1"/>
  <c r="DV6" i="31" a="1"/>
  <c r="DV6" i="31" s="1"/>
  <c r="DS6" i="31" a="1"/>
  <c r="DS6" i="31" s="1"/>
  <c r="DN6" i="31" a="1"/>
  <c r="DN6" i="31" s="1"/>
  <c r="DK6" i="31" a="1"/>
  <c r="DK6" i="31" s="1"/>
  <c r="DF6" i="31" a="1"/>
  <c r="DF6" i="31" s="1"/>
  <c r="DC6" i="31" a="1"/>
  <c r="DC6" i="31" s="1"/>
  <c r="CX6" i="31" a="1"/>
  <c r="CX6" i="31" s="1"/>
  <c r="CU6" i="31" a="1"/>
  <c r="CU6" i="31" s="1"/>
  <c r="CP6" i="31" a="1"/>
  <c r="CP6" i="31" s="1"/>
  <c r="CM6" i="31" a="1"/>
  <c r="CM6" i="31" s="1"/>
  <c r="CH6" i="31" a="1"/>
  <c r="CH6" i="31" s="1"/>
  <c r="CE6" i="31" a="1"/>
  <c r="CE6" i="31" s="1"/>
  <c r="BZ6" i="31" a="1"/>
  <c r="BZ6" i="31" s="1"/>
  <c r="BW6" i="31" a="1"/>
  <c r="BW6" i="31" s="1"/>
  <c r="BR6" i="31" a="1"/>
  <c r="BR6" i="31" s="1"/>
  <c r="BO6" i="31" a="1"/>
  <c r="BO6" i="31" s="1"/>
  <c r="BJ6" i="31" a="1"/>
  <c r="BJ6" i="31" s="1"/>
  <c r="BG6" i="31" a="1"/>
  <c r="BG6" i="31" s="1"/>
  <c r="BB6" i="31" a="1"/>
  <c r="BB6" i="31" s="1"/>
  <c r="AY6" i="31" a="1"/>
  <c r="AY6" i="31" s="1"/>
  <c r="AT6" i="31" a="1"/>
  <c r="AT6" i="31" s="1"/>
  <c r="AQ6" i="31" a="1"/>
  <c r="AQ6" i="31" s="1"/>
  <c r="AL6" i="31" a="1"/>
  <c r="AL6" i="31" s="1"/>
  <c r="AI6" i="31" a="1"/>
  <c r="AI6" i="31" s="1"/>
  <c r="AD6" i="31" a="1"/>
  <c r="AD6" i="31" s="1"/>
  <c r="AA6" i="31" a="1"/>
  <c r="AA6" i="31" s="1"/>
  <c r="V6" i="31" a="1"/>
  <c r="V6" i="31" s="1"/>
  <c r="S6" i="31" a="1"/>
  <c r="S6" i="31" s="1"/>
  <c r="N6" i="31" a="1"/>
  <c r="N6" i="31" s="1"/>
  <c r="K6" i="31" a="1"/>
  <c r="K6" i="31" s="1"/>
  <c r="DW5" i="31" a="1"/>
  <c r="DW5" i="31" s="1"/>
  <c r="DT5" i="31" a="1"/>
  <c r="DT5" i="31" s="1"/>
  <c r="DO5" i="31" a="1"/>
  <c r="DO5" i="31" s="1"/>
  <c r="DL5" i="31" a="1"/>
  <c r="DL5" i="31" s="1"/>
  <c r="DG5" i="31" a="1"/>
  <c r="DG5" i="31" s="1"/>
  <c r="DD5" i="31" a="1"/>
  <c r="DD5" i="31" s="1"/>
  <c r="CY5" i="31" a="1"/>
  <c r="CY5" i="31" s="1"/>
  <c r="CV5" i="31" a="1"/>
  <c r="CV5" i="31" s="1"/>
  <c r="CQ5" i="31" a="1"/>
  <c r="CQ5" i="31" s="1"/>
  <c r="BK7" i="31" a="1"/>
  <c r="BK7" i="31" s="1"/>
  <c r="BH7" i="31" a="1"/>
  <c r="BH7" i="31" s="1"/>
  <c r="BC7" i="31" a="1"/>
  <c r="BC7" i="31" s="1"/>
  <c r="AZ7" i="31" a="1"/>
  <c r="AZ7" i="31" s="1"/>
  <c r="AU7" i="31" a="1"/>
  <c r="AU7" i="31" s="1"/>
  <c r="AR7" i="31" a="1"/>
  <c r="AR7" i="31" s="1"/>
  <c r="AM7" i="31" a="1"/>
  <c r="AM7" i="31" s="1"/>
  <c r="AJ7" i="31" a="1"/>
  <c r="AJ7" i="31" s="1"/>
  <c r="AE7" i="31" a="1"/>
  <c r="AE7" i="31" s="1"/>
  <c r="AB7" i="31" a="1"/>
  <c r="AB7" i="31" s="1"/>
  <c r="W7" i="31" a="1"/>
  <c r="W7" i="31" s="1"/>
  <c r="T7" i="31" a="1"/>
  <c r="T7" i="31" s="1"/>
  <c r="O7" i="31" a="1"/>
  <c r="O7" i="31" s="1"/>
  <c r="L7" i="31" a="1"/>
  <c r="L7" i="31" s="1"/>
  <c r="DU6" i="31" a="1"/>
  <c r="DU6" i="31" s="1"/>
  <c r="DP6" i="31" a="1"/>
  <c r="DP6" i="31" s="1"/>
  <c r="DM6" i="31" a="1"/>
  <c r="DM6" i="31" s="1"/>
  <c r="DH6" i="31" a="1"/>
  <c r="DH6" i="31" s="1"/>
  <c r="DE6" i="31" a="1"/>
  <c r="DE6" i="31" s="1"/>
  <c r="CZ6" i="31" a="1"/>
  <c r="CZ6" i="31" s="1"/>
  <c r="CW6" i="31" a="1"/>
  <c r="CW6" i="31" s="1"/>
  <c r="CR6" i="31" a="1"/>
  <c r="CR6" i="31" s="1"/>
  <c r="CO6" i="31" a="1"/>
  <c r="CO6" i="31" s="1"/>
  <c r="CJ6" i="31" a="1"/>
  <c r="CJ6" i="31" s="1"/>
  <c r="CG6" i="31" a="1"/>
  <c r="CG6" i="31" s="1"/>
  <c r="CB6" i="31" a="1"/>
  <c r="CB6" i="31" s="1"/>
  <c r="BY6" i="31" a="1"/>
  <c r="BY6" i="31" s="1"/>
  <c r="BT6" i="31" a="1"/>
  <c r="BT6" i="31" s="1"/>
  <c r="BQ6" i="31" a="1"/>
  <c r="BQ6" i="31" s="1"/>
  <c r="BL6" i="31" a="1"/>
  <c r="BL6" i="31" s="1"/>
  <c r="BI6" i="31" a="1"/>
  <c r="BI6" i="31" s="1"/>
  <c r="BD6" i="31" a="1"/>
  <c r="BD6" i="31" s="1"/>
  <c r="BA6" i="31" a="1"/>
  <c r="BA6" i="31" s="1"/>
  <c r="AV6" i="31" a="1"/>
  <c r="AV6" i="31" s="1"/>
  <c r="AS6" i="31" a="1"/>
  <c r="AS6" i="31" s="1"/>
  <c r="AN6" i="31" a="1"/>
  <c r="AN6" i="31" s="1"/>
  <c r="AK6" i="31" a="1"/>
  <c r="AK6" i="31" s="1"/>
  <c r="AF6" i="31" a="1"/>
  <c r="AF6" i="31" s="1"/>
  <c r="AC6" i="31" a="1"/>
  <c r="AC6" i="31" s="1"/>
  <c r="X6" i="31" a="1"/>
  <c r="X6" i="31" s="1"/>
  <c r="U6" i="31" a="1"/>
  <c r="U6" i="31" s="1"/>
  <c r="P6" i="31" a="1"/>
  <c r="P6" i="31" s="1"/>
  <c r="M6" i="31" a="1"/>
  <c r="M6" i="31" s="1"/>
  <c r="DV5" i="31" a="1"/>
  <c r="DV5" i="31" s="1"/>
  <c r="DQ5" i="31" a="1"/>
  <c r="DQ5" i="31" s="1"/>
  <c r="DN5" i="31" a="1"/>
  <c r="DN5" i="31" s="1"/>
  <c r="DI5" i="31" a="1"/>
  <c r="DI5" i="31" s="1"/>
  <c r="DF5" i="31" a="1"/>
  <c r="DF5" i="31" s="1"/>
  <c r="DA5" i="31" a="1"/>
  <c r="DA5" i="31" s="1"/>
  <c r="CX5" i="31" a="1"/>
  <c r="CX5" i="31" s="1"/>
  <c r="CS5" i="31" a="1"/>
  <c r="CS5" i="31" s="1"/>
  <c r="CP5" i="31" a="1"/>
  <c r="CP5" i="31" s="1"/>
  <c r="CN5" i="31" a="1"/>
  <c r="CN5" i="31" s="1"/>
  <c r="CL5" i="31" a="1"/>
  <c r="CL5" i="31" s="1"/>
  <c r="BP7" i="31" a="1"/>
  <c r="BP7" i="31" s="1"/>
  <c r="BM7" i="31" a="1"/>
  <c r="BM7" i="31" s="1"/>
  <c r="BJ7" i="31" a="1"/>
  <c r="BJ7" i="31" s="1"/>
  <c r="BE7" i="31" a="1"/>
  <c r="BE7" i="31" s="1"/>
  <c r="BB7" i="31" a="1"/>
  <c r="BB7" i="31" s="1"/>
  <c r="AW7" i="31" a="1"/>
  <c r="AW7" i="31" s="1"/>
  <c r="AT7" i="31" a="1"/>
  <c r="AT7" i="31" s="1"/>
  <c r="AO7" i="31" a="1"/>
  <c r="AO7" i="31" s="1"/>
  <c r="AL7" i="31" a="1"/>
  <c r="AL7" i="31" s="1"/>
  <c r="AG7" i="31" a="1"/>
  <c r="AG7" i="31" s="1"/>
  <c r="AD7" i="31" a="1"/>
  <c r="AD7" i="31" s="1"/>
  <c r="Y7" i="31" a="1"/>
  <c r="Y7" i="31" s="1"/>
  <c r="V7" i="31" a="1"/>
  <c r="V7" i="31" s="1"/>
  <c r="Q7" i="31" a="1"/>
  <c r="Q7" i="31" s="1"/>
  <c r="N7" i="31" a="1"/>
  <c r="N7" i="31" s="1"/>
  <c r="DW6" i="31" a="1"/>
  <c r="DW6" i="31" s="1"/>
  <c r="DR6" i="31" a="1"/>
  <c r="DR6" i="31" s="1"/>
  <c r="DO6" i="31" a="1"/>
  <c r="DO6" i="31" s="1"/>
  <c r="DJ6" i="31" a="1"/>
  <c r="DJ6" i="31" s="1"/>
  <c r="DG6" i="31" a="1"/>
  <c r="DG6" i="31" s="1"/>
  <c r="DB6" i="31" a="1"/>
  <c r="DB6" i="31" s="1"/>
  <c r="CY6" i="31" a="1"/>
  <c r="CY6" i="31" s="1"/>
  <c r="CT6" i="31" a="1"/>
  <c r="CT6" i="31" s="1"/>
  <c r="CQ6" i="31" a="1"/>
  <c r="CQ6" i="31" s="1"/>
  <c r="CL6" i="31" a="1"/>
  <c r="CL6" i="31" s="1"/>
  <c r="CI6" i="31" a="1"/>
  <c r="CI6" i="31" s="1"/>
  <c r="CD6" i="31" a="1"/>
  <c r="CD6" i="31" s="1"/>
  <c r="CA6" i="31" a="1"/>
  <c r="CA6" i="31" s="1"/>
  <c r="BV6" i="31" a="1"/>
  <c r="BV6" i="31" s="1"/>
  <c r="BS6" i="31" a="1"/>
  <c r="BS6" i="31" s="1"/>
  <c r="BN6" i="31" a="1"/>
  <c r="BN6" i="31" s="1"/>
  <c r="BK6" i="31" a="1"/>
  <c r="BK6" i="31" s="1"/>
  <c r="BF6" i="31" a="1"/>
  <c r="BF6" i="31" s="1"/>
  <c r="BC6" i="31" a="1"/>
  <c r="BC6" i="31" s="1"/>
  <c r="AX6" i="31" a="1"/>
  <c r="AX6" i="31" s="1"/>
  <c r="AU6" i="31" a="1"/>
  <c r="AU6" i="31" s="1"/>
  <c r="AP6" i="31" a="1"/>
  <c r="AP6" i="31" s="1"/>
  <c r="AM6" i="31" a="1"/>
  <c r="AM6" i="31" s="1"/>
  <c r="AH6" i="31" a="1"/>
  <c r="AH6" i="31" s="1"/>
  <c r="AE6" i="31" a="1"/>
  <c r="AE6" i="31" s="1"/>
  <c r="Z6" i="31" a="1"/>
  <c r="Z6" i="31" s="1"/>
  <c r="W6" i="31" a="1"/>
  <c r="W6" i="31" s="1"/>
  <c r="R6" i="31" a="1"/>
  <c r="R6" i="31" s="1"/>
  <c r="O6" i="31" a="1"/>
  <c r="O6" i="31" s="1"/>
  <c r="DS5" i="31" a="1"/>
  <c r="DS5" i="31" s="1"/>
  <c r="DP5" i="31" a="1"/>
  <c r="DP5" i="31" s="1"/>
  <c r="DK5" i="31" a="1"/>
  <c r="DK5" i="31" s="1"/>
  <c r="DH5" i="31" a="1"/>
  <c r="DH5" i="31" s="1"/>
  <c r="DC5" i="31" a="1"/>
  <c r="DC5" i="31" s="1"/>
  <c r="CZ5" i="31" a="1"/>
  <c r="CZ5" i="31" s="1"/>
  <c r="CU5" i="31" a="1"/>
  <c r="CU5" i="31" s="1"/>
  <c r="CR5" i="31" a="1"/>
  <c r="CR5" i="31" s="1"/>
  <c r="BL7" i="31" a="1"/>
  <c r="BL7" i="31" s="1"/>
  <c r="BG7" i="31" a="1"/>
  <c r="BG7" i="31" s="1"/>
  <c r="BD7" i="31" a="1"/>
  <c r="BD7" i="31" s="1"/>
  <c r="AY7" i="31" a="1"/>
  <c r="AY7" i="31" s="1"/>
  <c r="AV7" i="31" a="1"/>
  <c r="AV7" i="31" s="1"/>
  <c r="AQ7" i="31" a="1"/>
  <c r="AQ7" i="31" s="1"/>
  <c r="AN7" i="31" a="1"/>
  <c r="AN7" i="31" s="1"/>
  <c r="AI7" i="31" a="1"/>
  <c r="AI7" i="31" s="1"/>
  <c r="AF7" i="31" a="1"/>
  <c r="AF7" i="31" s="1"/>
  <c r="AA7" i="31" a="1"/>
  <c r="AA7" i="31" s="1"/>
  <c r="X7" i="31" a="1"/>
  <c r="X7" i="31" s="1"/>
  <c r="S7" i="31" a="1"/>
  <c r="S7" i="31" s="1"/>
  <c r="P7" i="31" a="1"/>
  <c r="P7" i="31" s="1"/>
  <c r="K7" i="31" a="1"/>
  <c r="K7" i="31" s="1"/>
  <c r="DT6" i="31" a="1"/>
  <c r="DT6" i="31" s="1"/>
  <c r="DQ6" i="31" a="1"/>
  <c r="DQ6" i="31" s="1"/>
  <c r="DL6" i="31" a="1"/>
  <c r="DL6" i="31" s="1"/>
  <c r="DI6" i="31" a="1"/>
  <c r="DI6" i="31" s="1"/>
  <c r="DD6" i="31" a="1"/>
  <c r="DD6" i="31" s="1"/>
  <c r="DA6" i="31" a="1"/>
  <c r="DA6" i="31" s="1"/>
  <c r="CV6" i="31" a="1"/>
  <c r="CV6" i="31" s="1"/>
  <c r="CS6" i="31" a="1"/>
  <c r="CS6" i="31" s="1"/>
  <c r="CN6" i="31" a="1"/>
  <c r="CN6" i="31" s="1"/>
  <c r="CK6" i="31" a="1"/>
  <c r="CK6" i="31" s="1"/>
  <c r="CF6" i="31" a="1"/>
  <c r="CF6" i="31" s="1"/>
  <c r="CC6" i="31" a="1"/>
  <c r="CC6" i="31" s="1"/>
  <c r="BX6" i="31" a="1"/>
  <c r="BX6" i="31" s="1"/>
  <c r="BU6" i="31" a="1"/>
  <c r="BU6" i="31" s="1"/>
  <c r="BP6" i="31" a="1"/>
  <c r="BP6" i="31" s="1"/>
  <c r="BM6" i="31" a="1"/>
  <c r="BM6" i="31" s="1"/>
  <c r="BH6" i="31" a="1"/>
  <c r="BH6" i="31" s="1"/>
  <c r="BE6" i="31" a="1"/>
  <c r="BE6" i="31" s="1"/>
  <c r="AZ6" i="31" a="1"/>
  <c r="AZ6" i="31" s="1"/>
  <c r="AW6" i="31" a="1"/>
  <c r="AW6" i="31" s="1"/>
  <c r="AR6" i="31" a="1"/>
  <c r="AR6" i="31" s="1"/>
  <c r="AO6" i="31" a="1"/>
  <c r="AO6" i="31" s="1"/>
  <c r="AJ6" i="31" a="1"/>
  <c r="AJ6" i="31" s="1"/>
  <c r="AG6" i="31" a="1"/>
  <c r="AG6" i="31" s="1"/>
  <c r="AB6" i="31" a="1"/>
  <c r="AB6" i="31" s="1"/>
  <c r="Y6" i="31" a="1"/>
  <c r="Y6" i="31" s="1"/>
  <c r="T6" i="31" a="1"/>
  <c r="T6" i="31" s="1"/>
  <c r="Q6" i="31" a="1"/>
  <c r="Q6" i="31" s="1"/>
  <c r="L6" i="31" a="1"/>
  <c r="L6" i="31" s="1"/>
  <c r="DU5" i="31" a="1"/>
  <c r="DU5" i="31" s="1"/>
  <c r="DR5" i="31" a="1"/>
  <c r="DR5" i="31" s="1"/>
  <c r="DM5" i="31" a="1"/>
  <c r="DM5" i="31" s="1"/>
  <c r="DJ5" i="31" a="1"/>
  <c r="DJ5" i="31" s="1"/>
  <c r="DE5" i="31" a="1"/>
  <c r="DE5" i="31" s="1"/>
  <c r="DB5" i="31" a="1"/>
  <c r="DB5" i="31" s="1"/>
  <c r="CW5" i="31" a="1"/>
  <c r="CW5" i="31" s="1"/>
  <c r="CT5" i="31" a="1"/>
  <c r="CT5" i="31" s="1"/>
  <c r="CO5" i="31" a="1"/>
  <c r="CO5" i="31" s="1"/>
  <c r="CM5" i="31" a="1"/>
  <c r="CM5" i="31" s="1"/>
  <c r="CH5" i="31" a="1"/>
  <c r="CH5" i="31" s="1"/>
  <c r="CJ5" i="31" a="1"/>
  <c r="CJ5" i="31" s="1"/>
  <c r="CI5" i="31" a="1"/>
  <c r="CI5" i="31" s="1"/>
  <c r="CG5" i="31" a="1"/>
  <c r="CG5" i="31" s="1"/>
  <c r="CK5" i="31" a="1"/>
  <c r="CK5" i="31" s="1"/>
  <c r="J12" i="31" a="1"/>
  <c r="J12" i="31" s="1"/>
  <c r="J11" i="31" a="1"/>
  <c r="J11" i="31" s="1"/>
  <c r="J10" i="31" a="1"/>
  <c r="J10" i="31" s="1"/>
  <c r="J9" i="31" a="1"/>
  <c r="J9" i="31" s="1"/>
  <c r="J8" i="31" a="1"/>
  <c r="J8" i="31" s="1"/>
  <c r="J7" i="31" a="1"/>
  <c r="J7" i="31" s="1"/>
  <c r="J6" i="31" a="1"/>
  <c r="J6" i="31" s="1"/>
  <c r="DV12" i="31" a="1"/>
  <c r="DV12" i="31" s="1"/>
  <c r="DW12" i="31" a="1"/>
  <c r="DW12" i="31" s="1"/>
  <c r="DT12" i="31" a="1"/>
  <c r="DT12" i="31" s="1"/>
  <c r="DQ12" i="31" a="1"/>
  <c r="DQ12" i="31" s="1"/>
  <c r="DL12" i="31" a="1"/>
  <c r="DL12" i="31" s="1"/>
  <c r="DI12" i="31" a="1"/>
  <c r="DI12" i="31" s="1"/>
  <c r="DD12" i="31" a="1"/>
  <c r="DD12" i="31" s="1"/>
  <c r="DA12" i="31" a="1"/>
  <c r="DA12" i="31" s="1"/>
  <c r="CV12" i="31" a="1"/>
  <c r="CV12" i="31" s="1"/>
  <c r="CS12" i="31" a="1"/>
  <c r="CS12" i="31" s="1"/>
  <c r="CN12" i="31" a="1"/>
  <c r="CN12" i="31" s="1"/>
  <c r="CK12" i="31" a="1"/>
  <c r="CK12" i="31" s="1"/>
  <c r="CF12" i="31" a="1"/>
  <c r="CF12" i="31" s="1"/>
  <c r="CC12" i="31" a="1"/>
  <c r="CC12" i="31" s="1"/>
  <c r="BX12" i="31" a="1"/>
  <c r="BX12" i="31" s="1"/>
  <c r="BU12" i="31" a="1"/>
  <c r="BU12" i="31" s="1"/>
  <c r="BP12" i="31" a="1"/>
  <c r="BP12" i="31" s="1"/>
  <c r="BM12" i="31" a="1"/>
  <c r="BM12" i="31" s="1"/>
  <c r="BH12" i="31" a="1"/>
  <c r="BH12" i="31" s="1"/>
  <c r="BE12" i="31" a="1"/>
  <c r="BE12" i="31" s="1"/>
  <c r="AZ12" i="31" a="1"/>
  <c r="AZ12" i="31" s="1"/>
  <c r="AW12" i="31" a="1"/>
  <c r="AW12" i="31" s="1"/>
  <c r="AR12" i="31" a="1"/>
  <c r="AR12" i="31" s="1"/>
  <c r="AO12" i="31" a="1"/>
  <c r="AO12" i="31" s="1"/>
  <c r="AJ12" i="31" a="1"/>
  <c r="AJ12" i="31" s="1"/>
  <c r="AG12" i="31" a="1"/>
  <c r="AG12" i="31" s="1"/>
  <c r="AB12" i="31" a="1"/>
  <c r="AB12" i="31" s="1"/>
  <c r="Y12" i="31" a="1"/>
  <c r="Y12" i="31" s="1"/>
  <c r="T12" i="31" a="1"/>
  <c r="T12" i="31" s="1"/>
  <c r="Q12" i="31" a="1"/>
  <c r="Q12" i="31" s="1"/>
  <c r="L12" i="31" a="1"/>
  <c r="L12" i="31" s="1"/>
  <c r="DU11" i="31" a="1"/>
  <c r="DU11" i="31" s="1"/>
  <c r="DR11" i="31" a="1"/>
  <c r="DR11" i="31" s="1"/>
  <c r="DM11" i="31" a="1"/>
  <c r="DM11" i="31" s="1"/>
  <c r="DJ11" i="31" a="1"/>
  <c r="DJ11" i="31" s="1"/>
  <c r="DE11" i="31" a="1"/>
  <c r="DE11" i="31" s="1"/>
  <c r="DB11" i="31" a="1"/>
  <c r="DB11" i="31" s="1"/>
  <c r="CW11" i="31" a="1"/>
  <c r="CW11" i="31" s="1"/>
  <c r="CT11" i="31" a="1"/>
  <c r="CT11" i="31" s="1"/>
  <c r="CO11" i="31" a="1"/>
  <c r="CO11" i="31" s="1"/>
  <c r="CL11" i="31" a="1"/>
  <c r="CL11" i="31" s="1"/>
  <c r="CG11" i="31" a="1"/>
  <c r="CG11" i="31" s="1"/>
  <c r="CD11" i="31" a="1"/>
  <c r="CD11" i="31" s="1"/>
  <c r="BY11" i="31" a="1"/>
  <c r="BY11" i="31" s="1"/>
  <c r="BV11" i="31" a="1"/>
  <c r="BV11" i="31" s="1"/>
  <c r="BQ11" i="31" a="1"/>
  <c r="BQ11" i="31" s="1"/>
  <c r="BN11" i="31" a="1"/>
  <c r="BN11" i="31" s="1"/>
  <c r="BI11" i="31" a="1"/>
  <c r="BI11" i="31" s="1"/>
  <c r="BF11" i="31" a="1"/>
  <c r="BF11" i="31" s="1"/>
  <c r="DS12" i="31" a="1"/>
  <c r="DS12" i="31" s="1"/>
  <c r="DN12" i="31" a="1"/>
  <c r="DN12" i="31" s="1"/>
  <c r="DK12" i="31" a="1"/>
  <c r="DK12" i="31" s="1"/>
  <c r="DF12" i="31" a="1"/>
  <c r="DF12" i="31" s="1"/>
  <c r="DC12" i="31" a="1"/>
  <c r="DC12" i="31" s="1"/>
  <c r="CX12" i="31" a="1"/>
  <c r="CX12" i="31" s="1"/>
  <c r="CU12" i="31" a="1"/>
  <c r="CU12" i="31" s="1"/>
  <c r="CP12" i="31" a="1"/>
  <c r="CP12" i="31" s="1"/>
  <c r="CM12" i="31" a="1"/>
  <c r="CM12" i="31" s="1"/>
  <c r="CH12" i="31" a="1"/>
  <c r="CH12" i="31" s="1"/>
  <c r="CE12" i="31" a="1"/>
  <c r="CE12" i="31" s="1"/>
  <c r="BZ12" i="31" a="1"/>
  <c r="BZ12" i="31" s="1"/>
  <c r="BW12" i="31" a="1"/>
  <c r="BW12" i="31" s="1"/>
  <c r="BR12" i="31" a="1"/>
  <c r="BR12" i="31" s="1"/>
  <c r="BO12" i="31" a="1"/>
  <c r="BO12" i="31" s="1"/>
  <c r="BJ12" i="31" a="1"/>
  <c r="BJ12" i="31" s="1"/>
  <c r="BG12" i="31" a="1"/>
  <c r="BG12" i="31" s="1"/>
  <c r="BB12" i="31" a="1"/>
  <c r="BB12" i="31" s="1"/>
  <c r="AY12" i="31" a="1"/>
  <c r="AY12" i="31" s="1"/>
  <c r="AT12" i="31" a="1"/>
  <c r="AT12" i="31" s="1"/>
  <c r="AQ12" i="31" a="1"/>
  <c r="AQ12" i="31" s="1"/>
  <c r="AL12" i="31" a="1"/>
  <c r="AL12" i="31" s="1"/>
  <c r="AI12" i="31" a="1"/>
  <c r="AI12" i="31" s="1"/>
  <c r="AD12" i="31" a="1"/>
  <c r="AD12" i="31" s="1"/>
  <c r="AA12" i="31" a="1"/>
  <c r="AA12" i="31" s="1"/>
  <c r="V12" i="31" a="1"/>
  <c r="V12" i="31" s="1"/>
  <c r="S12" i="31" a="1"/>
  <c r="S12" i="31" s="1"/>
  <c r="N12" i="31" a="1"/>
  <c r="N12" i="31" s="1"/>
  <c r="K12" i="31" a="1"/>
  <c r="K12" i="31" s="1"/>
  <c r="DW11" i="31" a="1"/>
  <c r="DW11" i="31" s="1"/>
  <c r="DT11" i="31" a="1"/>
  <c r="DT11" i="31" s="1"/>
  <c r="DO11" i="31" a="1"/>
  <c r="DO11" i="31" s="1"/>
  <c r="DL11" i="31" a="1"/>
  <c r="DL11" i="31" s="1"/>
  <c r="DG11" i="31" a="1"/>
  <c r="DG11" i="31" s="1"/>
  <c r="DD11" i="31" a="1"/>
  <c r="DD11" i="31" s="1"/>
  <c r="CY11" i="31" a="1"/>
  <c r="CY11" i="31" s="1"/>
  <c r="CV11" i="31" a="1"/>
  <c r="CV11" i="31" s="1"/>
  <c r="CQ11" i="31" a="1"/>
  <c r="CQ11" i="31" s="1"/>
  <c r="CN11" i="31" a="1"/>
  <c r="CN11" i="31" s="1"/>
  <c r="CI11" i="31" a="1"/>
  <c r="CI11" i="31" s="1"/>
  <c r="CF11" i="31" a="1"/>
  <c r="CF11" i="31" s="1"/>
  <c r="CA11" i="31" a="1"/>
  <c r="CA11" i="31" s="1"/>
  <c r="BX11" i="31" a="1"/>
  <c r="BX11" i="31" s="1"/>
  <c r="BS11" i="31" a="1"/>
  <c r="BS11" i="31" s="1"/>
  <c r="BP11" i="31" a="1"/>
  <c r="BP11" i="31" s="1"/>
  <c r="BK11" i="31" a="1"/>
  <c r="BK11" i="31" s="1"/>
  <c r="BH11" i="31" a="1"/>
  <c r="BH11" i="31" s="1"/>
  <c r="BC11" i="31" a="1"/>
  <c r="BC11" i="31" s="1"/>
  <c r="DU12" i="31" a="1"/>
  <c r="DU12" i="31" s="1"/>
  <c r="DP12" i="31" a="1"/>
  <c r="DP12" i="31" s="1"/>
  <c r="DM12" i="31" a="1"/>
  <c r="DM12" i="31" s="1"/>
  <c r="DH12" i="31" a="1"/>
  <c r="DH12" i="31" s="1"/>
  <c r="DE12" i="31" a="1"/>
  <c r="DE12" i="31" s="1"/>
  <c r="CZ12" i="31" a="1"/>
  <c r="CZ12" i="31" s="1"/>
  <c r="CW12" i="31" a="1"/>
  <c r="CW12" i="31" s="1"/>
  <c r="CR12" i="31" a="1"/>
  <c r="CR12" i="31" s="1"/>
  <c r="CO12" i="31" a="1"/>
  <c r="CO12" i="31" s="1"/>
  <c r="CJ12" i="31" a="1"/>
  <c r="CJ12" i="31" s="1"/>
  <c r="CG12" i="31" a="1"/>
  <c r="CG12" i="31" s="1"/>
  <c r="CB12" i="31" a="1"/>
  <c r="CB12" i="31" s="1"/>
  <c r="BY12" i="31" a="1"/>
  <c r="BY12" i="31" s="1"/>
  <c r="BT12" i="31" a="1"/>
  <c r="BT12" i="31" s="1"/>
  <c r="BQ12" i="31" a="1"/>
  <c r="BQ12" i="31" s="1"/>
  <c r="BL12" i="31" a="1"/>
  <c r="BL12" i="31" s="1"/>
  <c r="BI12" i="31" a="1"/>
  <c r="BI12" i="31" s="1"/>
  <c r="BD12" i="31" a="1"/>
  <c r="BD12" i="31" s="1"/>
  <c r="BA12" i="31" a="1"/>
  <c r="BA12" i="31" s="1"/>
  <c r="AV12" i="31" a="1"/>
  <c r="AV12" i="31" s="1"/>
  <c r="AS12" i="31" a="1"/>
  <c r="AS12" i="31" s="1"/>
  <c r="AN12" i="31" a="1"/>
  <c r="AN12" i="31" s="1"/>
  <c r="AK12" i="31" a="1"/>
  <c r="AK12" i="31" s="1"/>
  <c r="AF12" i="31" a="1"/>
  <c r="AF12" i="31" s="1"/>
  <c r="AC12" i="31" a="1"/>
  <c r="AC12" i="31" s="1"/>
  <c r="X12" i="31" a="1"/>
  <c r="X12" i="31" s="1"/>
  <c r="U12" i="31" a="1"/>
  <c r="U12" i="31" s="1"/>
  <c r="P12" i="31" a="1"/>
  <c r="P12" i="31" s="1"/>
  <c r="M12" i="31" a="1"/>
  <c r="M12" i="31" s="1"/>
  <c r="DV11" i="31" a="1"/>
  <c r="DV11" i="31" s="1"/>
  <c r="DQ11" i="31" a="1"/>
  <c r="DQ11" i="31" s="1"/>
  <c r="DN11" i="31" a="1"/>
  <c r="DN11" i="31" s="1"/>
  <c r="DI11" i="31" a="1"/>
  <c r="DI11" i="31" s="1"/>
  <c r="DF11" i="31" a="1"/>
  <c r="DF11" i="31" s="1"/>
  <c r="DA11" i="31" a="1"/>
  <c r="DA11" i="31" s="1"/>
  <c r="CX11" i="31" a="1"/>
  <c r="CX11" i="31" s="1"/>
  <c r="CS11" i="31" a="1"/>
  <c r="CS11" i="31" s="1"/>
  <c r="CP11" i="31" a="1"/>
  <c r="CP11" i="31" s="1"/>
  <c r="CK11" i="31" a="1"/>
  <c r="CK11" i="31" s="1"/>
  <c r="CH11" i="31" a="1"/>
  <c r="CH11" i="31" s="1"/>
  <c r="CC11" i="31" a="1"/>
  <c r="CC11" i="31" s="1"/>
  <c r="BZ11" i="31" a="1"/>
  <c r="BZ11" i="31" s="1"/>
  <c r="BU11" i="31" a="1"/>
  <c r="BU11" i="31" s="1"/>
  <c r="BR11" i="31" a="1"/>
  <c r="BR11" i="31" s="1"/>
  <c r="BM11" i="31" a="1"/>
  <c r="BM11" i="31" s="1"/>
  <c r="BJ11" i="31" a="1"/>
  <c r="BJ11" i="31" s="1"/>
  <c r="BE11" i="31" a="1"/>
  <c r="BE11" i="31" s="1"/>
  <c r="BB11" i="31" a="1"/>
  <c r="BB11" i="31" s="1"/>
  <c r="DR12" i="31" a="1"/>
  <c r="DR12" i="31" s="1"/>
  <c r="DO12" i="31" a="1"/>
  <c r="DO12" i="31" s="1"/>
  <c r="DJ12" i="31" a="1"/>
  <c r="DJ12" i="31" s="1"/>
  <c r="DG12" i="31" a="1"/>
  <c r="DG12" i="31" s="1"/>
  <c r="DB12" i="31" a="1"/>
  <c r="DB12" i="31" s="1"/>
  <c r="CY12" i="31" a="1"/>
  <c r="CY12" i="31" s="1"/>
  <c r="CT12" i="31" a="1"/>
  <c r="CT12" i="31" s="1"/>
  <c r="CQ12" i="31" a="1"/>
  <c r="CQ12" i="31" s="1"/>
  <c r="CL12" i="31" a="1"/>
  <c r="CL12" i="31" s="1"/>
  <c r="CI12" i="31" a="1"/>
  <c r="CI12" i="31" s="1"/>
  <c r="CD12" i="31" a="1"/>
  <c r="CD12" i="31" s="1"/>
  <c r="CA12" i="31" a="1"/>
  <c r="CA12" i="31" s="1"/>
  <c r="BV12" i="31" a="1"/>
  <c r="BV12" i="31" s="1"/>
  <c r="BS12" i="31" a="1"/>
  <c r="BS12" i="31" s="1"/>
  <c r="BN12" i="31" a="1"/>
  <c r="BN12" i="31" s="1"/>
  <c r="BK12" i="31" a="1"/>
  <c r="BK12" i="31" s="1"/>
  <c r="BF12" i="31" a="1"/>
  <c r="BF12" i="31" s="1"/>
  <c r="BC12" i="31" a="1"/>
  <c r="BC12" i="31" s="1"/>
  <c r="AX12" i="31" a="1"/>
  <c r="AX12" i="31" s="1"/>
  <c r="AU12" i="31" a="1"/>
  <c r="AU12" i="31" s="1"/>
  <c r="AP12" i="31" a="1"/>
  <c r="AP12" i="31" s="1"/>
  <c r="AM12" i="31" a="1"/>
  <c r="AM12" i="31" s="1"/>
  <c r="AH12" i="31" a="1"/>
  <c r="AH12" i="31" s="1"/>
  <c r="AE12" i="31" a="1"/>
  <c r="AE12" i="31" s="1"/>
  <c r="Z12" i="31" a="1"/>
  <c r="Z12" i="31" s="1"/>
  <c r="W12" i="31" a="1"/>
  <c r="W12" i="31" s="1"/>
  <c r="R12" i="31" a="1"/>
  <c r="R12" i="31" s="1"/>
  <c r="O12" i="31" a="1"/>
  <c r="O12" i="31" s="1"/>
  <c r="DS11" i="31" a="1"/>
  <c r="DS11" i="31" s="1"/>
  <c r="DP11" i="31" a="1"/>
  <c r="DP11" i="31" s="1"/>
  <c r="DK11" i="31" a="1"/>
  <c r="DK11" i="31" s="1"/>
  <c r="DH11" i="31" a="1"/>
  <c r="DH11" i="31" s="1"/>
  <c r="DC11" i="31" a="1"/>
  <c r="DC11" i="31" s="1"/>
  <c r="CZ11" i="31" a="1"/>
  <c r="CZ11" i="31" s="1"/>
  <c r="CU11" i="31" a="1"/>
  <c r="CU11" i="31" s="1"/>
  <c r="CR11" i="31" a="1"/>
  <c r="CR11" i="31" s="1"/>
  <c r="CM11" i="31" a="1"/>
  <c r="CM11" i="31" s="1"/>
  <c r="CJ11" i="31" a="1"/>
  <c r="CJ11" i="31" s="1"/>
  <c r="CE11" i="31" a="1"/>
  <c r="CE11" i="31" s="1"/>
  <c r="CB11" i="31" a="1"/>
  <c r="CB11" i="31" s="1"/>
  <c r="BW11" i="31" a="1"/>
  <c r="BW11" i="31" s="1"/>
  <c r="BT11" i="31" a="1"/>
  <c r="BT11" i="31" s="1"/>
  <c r="BO11" i="31" a="1"/>
  <c r="BO11" i="31" s="1"/>
  <c r="BL11" i="31" a="1"/>
  <c r="BL11" i="31" s="1"/>
  <c r="BG11" i="31" a="1"/>
  <c r="BG11" i="31" s="1"/>
  <c r="BA11" i="31" a="1"/>
  <c r="BA11" i="31" s="1"/>
  <c r="AX11" i="31" a="1"/>
  <c r="AX11" i="31" s="1"/>
  <c r="AS11" i="31" a="1"/>
  <c r="AS11" i="31" s="1"/>
  <c r="AP11" i="31" a="1"/>
  <c r="AP11" i="31" s="1"/>
  <c r="AK11" i="31" a="1"/>
  <c r="AK11" i="31" s="1"/>
  <c r="BD11" i="31" a="1"/>
  <c r="BD11" i="31" s="1"/>
  <c r="AZ11" i="31" a="1"/>
  <c r="AZ11" i="31" s="1"/>
  <c r="AU11" i="31" a="1"/>
  <c r="AU11" i="31" s="1"/>
  <c r="AR11" i="31" a="1"/>
  <c r="AR11" i="31" s="1"/>
  <c r="AM11" i="31" a="1"/>
  <c r="AM11" i="31" s="1"/>
  <c r="AW11" i="31" a="1"/>
  <c r="AW11" i="31" s="1"/>
  <c r="AT11" i="31" a="1"/>
  <c r="AT11" i="31" s="1"/>
  <c r="AO11" i="31" a="1"/>
  <c r="AO11" i="31" s="1"/>
  <c r="AL11" i="31" a="1"/>
  <c r="AL11" i="31" s="1"/>
  <c r="AG11" i="31" a="1"/>
  <c r="AG11" i="31" s="1"/>
  <c r="AY11" i="31" a="1"/>
  <c r="AY11" i="31" s="1"/>
  <c r="AV11" i="31" a="1"/>
  <c r="AV11" i="31" s="1"/>
  <c r="AQ11" i="31" a="1"/>
  <c r="AQ11" i="31" s="1"/>
  <c r="AN11" i="31" a="1"/>
  <c r="AN11" i="31" s="1"/>
  <c r="AI11" i="31" a="1"/>
  <c r="AI11" i="31" s="1"/>
  <c r="DZ12" i="31"/>
  <c r="EA12" i="31" s="1" a="1"/>
  <c r="EA12" i="31" s="1"/>
  <c r="ED12" i="31"/>
  <c r="EE12" i="31" s="1" a="1"/>
  <c r="EE12" i="31" s="1"/>
  <c r="AB16" i="31"/>
  <c r="AB14" i="31"/>
  <c r="AB17" i="31"/>
  <c r="BR17" i="31"/>
  <c r="DV16" i="31"/>
  <c r="BJ16" i="31"/>
  <c r="DN15" i="31"/>
  <c r="BB15" i="31"/>
  <c r="BQ17" i="31"/>
  <c r="DA16" i="31"/>
  <c r="AO16" i="31"/>
  <c r="BY15" i="31"/>
  <c r="BC17" i="31"/>
  <c r="K16" i="31"/>
  <c r="AC15" i="31"/>
  <c r="CC14" i="31"/>
  <c r="Q14" i="31"/>
  <c r="DO16" i="31"/>
  <c r="DC15" i="31"/>
  <c r="DO14" i="31"/>
  <c r="CR17" i="31"/>
  <c r="CF16" i="31"/>
  <c r="BT15" i="31"/>
  <c r="DN14" i="31"/>
  <c r="AN15" i="31"/>
  <c r="R14" i="31"/>
  <c r="CH14" i="31"/>
  <c r="DL13" i="31"/>
  <c r="AZ13" i="31"/>
  <c r="CB16" i="31"/>
  <c r="AZ14" i="31"/>
  <c r="CA13" i="31"/>
  <c r="DR17" i="31"/>
  <c r="AH17" i="31"/>
  <c r="BR16" i="31"/>
  <c r="DB15" i="31"/>
  <c r="CS17" i="31"/>
  <c r="M17" i="31"/>
  <c r="AS16" i="31"/>
  <c r="BU15" i="31"/>
  <c r="DS16" i="31"/>
  <c r="CA15" i="31"/>
  <c r="CO14" i="31"/>
  <c r="DU13" i="31"/>
  <c r="CQ16" i="31"/>
  <c r="AQ15" i="31"/>
  <c r="CA14" i="31"/>
  <c r="CN16" i="31"/>
  <c r="AP15" i="31"/>
  <c r="CR16" i="31"/>
  <c r="W14" i="31"/>
  <c r="BZ14" i="31"/>
  <c r="CN13" i="31"/>
  <c r="AV16" i="31"/>
  <c r="T14" i="31"/>
  <c r="AY13" i="31"/>
  <c r="CV15" i="31"/>
  <c r="AI14" i="31"/>
  <c r="CD13" i="31"/>
  <c r="BM13" i="31"/>
  <c r="V13" i="31"/>
  <c r="DJ17" i="31"/>
  <c r="CH16" i="31"/>
  <c r="BF15" i="31"/>
  <c r="DR15" i="31"/>
  <c r="BJ17" i="31"/>
  <c r="CL15" i="31"/>
  <c r="CO16" i="31"/>
  <c r="CK15" i="31"/>
  <c r="CU16" i="31"/>
  <c r="Y15" i="31"/>
  <c r="Y14" i="31"/>
  <c r="BS16" i="31"/>
  <c r="DW14" i="31"/>
  <c r="DT16" i="31"/>
  <c r="AH15" i="31"/>
  <c r="CV14" i="31"/>
  <c r="T15" i="31"/>
  <c r="CB13" i="31"/>
  <c r="AV15" i="31"/>
  <c r="CI13" i="31"/>
  <c r="BT16" i="31"/>
  <c r="DF13" i="31"/>
  <c r="CC13" i="31"/>
  <c r="CK13" i="31"/>
  <c r="DR16" i="31"/>
  <c r="BV15" i="31"/>
  <c r="Y17" i="31"/>
  <c r="AC16" i="31"/>
  <c r="CA17" i="31"/>
  <c r="CQ15" i="31"/>
  <c r="BY14" i="31"/>
  <c r="AQ17" i="31"/>
  <c r="AA15" i="31"/>
  <c r="AV17" i="31"/>
  <c r="BV16" i="31"/>
  <c r="CW16" i="31"/>
  <c r="O17" i="31"/>
  <c r="AO14" i="31"/>
  <c r="S15" i="31"/>
  <c r="CR15" i="31"/>
  <c r="DL14" i="31"/>
  <c r="BB14" i="31"/>
  <c r="L13" i="31"/>
  <c r="CU13" i="31"/>
  <c r="DP14" i="31"/>
  <c r="CW13" i="31"/>
  <c r="AT13" i="31"/>
  <c r="Z17" i="31"/>
  <c r="AO17" i="31"/>
  <c r="DG17" i="31"/>
  <c r="CK14" i="31"/>
  <c r="X17" i="31"/>
  <c r="DP13" i="31"/>
  <c r="DW13" i="31"/>
  <c r="CZ14" i="31"/>
  <c r="AH16" i="31"/>
  <c r="BY16" i="31"/>
  <c r="BO16" i="31"/>
  <c r="M14" i="31"/>
  <c r="DG14" i="31"/>
  <c r="R15" i="31"/>
  <c r="L14" i="31"/>
  <c r="CZ13" i="31"/>
  <c r="DD14" i="31"/>
  <c r="AM13" i="31"/>
  <c r="AN14" i="31"/>
  <c r="AW13" i="31"/>
  <c r="AB13" i="31"/>
  <c r="AB15" i="31"/>
  <c r="BB17" i="31"/>
  <c r="CP16" i="31"/>
  <c r="N16" i="31"/>
  <c r="DM17" i="31"/>
  <c r="U17" i="31"/>
  <c r="BE16" i="31"/>
  <c r="BI15" i="31"/>
  <c r="DC16" i="31"/>
  <c r="AS15" i="31"/>
  <c r="BM14" i="31"/>
  <c r="CM17" i="31"/>
  <c r="W16" i="31"/>
  <c r="CY14" i="31"/>
  <c r="AF17" i="31"/>
  <c r="CZ15" i="31"/>
  <c r="CX14" i="31"/>
  <c r="BH14" i="31"/>
  <c r="AJ15" i="31"/>
  <c r="CV13" i="31"/>
  <c r="T13" i="31"/>
  <c r="BX14" i="31"/>
  <c r="BK13" i="31"/>
  <c r="BZ17" i="31"/>
  <c r="CL16" i="31"/>
  <c r="CD15" i="31"/>
  <c r="BE17" i="31"/>
  <c r="BM16" i="31"/>
  <c r="BA15" i="31"/>
  <c r="AI16" i="31"/>
  <c r="DM14" i="31"/>
  <c r="CU17" i="31"/>
  <c r="DS15" i="31"/>
  <c r="CU14" i="31"/>
  <c r="AR16" i="31"/>
  <c r="DR14" i="31"/>
  <c r="AX14" i="31"/>
  <c r="AV14" i="31"/>
  <c r="AV13" i="31"/>
  <c r="AU14" i="31"/>
  <c r="AA13" i="31"/>
  <c r="CD14" i="31"/>
  <c r="CT13" i="31"/>
  <c r="AG13" i="31"/>
  <c r="AS13" i="31"/>
  <c r="AD17" i="31"/>
  <c r="CP17" i="31"/>
  <c r="DI17" i="31"/>
  <c r="BB16" i="31"/>
  <c r="BI16" i="31"/>
  <c r="CY17" i="31"/>
  <c r="BC15" i="31"/>
  <c r="DK17" i="31"/>
  <c r="BO15" i="31"/>
  <c r="BT17" i="31"/>
  <c r="DV14" i="31"/>
  <c r="DV13" i="31"/>
  <c r="DD13" i="31"/>
  <c r="BP14" i="31"/>
  <c r="AI13" i="31"/>
  <c r="S14" i="31"/>
  <c r="AO13" i="31"/>
  <c r="CL17" i="31"/>
  <c r="DJ15" i="31"/>
  <c r="DI16" i="31"/>
  <c r="CG15" i="31"/>
  <c r="AA16" i="31"/>
  <c r="AS14" i="31"/>
  <c r="DK15" i="31"/>
  <c r="DH17" i="31"/>
  <c r="DF15" i="31"/>
  <c r="DA15" i="31"/>
  <c r="CW14" i="31"/>
  <c r="CE14" i="31"/>
  <c r="DJ14" i="31"/>
  <c r="CF15" i="31"/>
  <c r="DD15" i="31"/>
  <c r="S13" i="31"/>
  <c r="DB13" i="31"/>
  <c r="BQ13" i="31"/>
  <c r="CP15" i="31"/>
  <c r="CW15" i="31"/>
  <c r="AK14" i="31"/>
  <c r="Z15" i="31"/>
  <c r="O13" i="31"/>
  <c r="BE13" i="31"/>
  <c r="BU17" i="31"/>
  <c r="BS17" i="31"/>
  <c r="AI17" i="31"/>
  <c r="CV16" i="31"/>
  <c r="BN14" i="31"/>
  <c r="BL13" i="31"/>
  <c r="DC13" i="31"/>
  <c r="CL14" i="31"/>
  <c r="BR13" i="31"/>
  <c r="CN14" i="31"/>
  <c r="AD14" i="31"/>
  <c r="DA13" i="31"/>
  <c r="BX13" i="31"/>
  <c r="CX13" i="31"/>
  <c r="R16" i="31"/>
  <c r="M16" i="31"/>
  <c r="DQ14" i="31"/>
  <c r="AM15" i="31"/>
  <c r="DH15" i="31"/>
  <c r="BC14" i="31"/>
  <c r="K14" i="31"/>
  <c r="Z14" i="31"/>
  <c r="DN13" i="31"/>
  <c r="K15" i="31"/>
  <c r="AN13" i="31"/>
  <c r="R13" i="31"/>
  <c r="BI13" i="31"/>
  <c r="L17" i="31"/>
  <c r="BV17" i="31"/>
  <c r="AC17" i="31"/>
  <c r="CG14" i="31"/>
  <c r="L16" i="31"/>
  <c r="BL14" i="31"/>
  <c r="BV14" i="31"/>
  <c r="CD16" i="31"/>
  <c r="BA16" i="31"/>
  <c r="Q15" i="31"/>
  <c r="DV17" i="31"/>
  <c r="CY16" i="31"/>
  <c r="CJ13" i="31"/>
  <c r="BU13" i="31"/>
  <c r="DW15" i="31"/>
  <c r="AD13" i="31"/>
  <c r="DU14" i="31"/>
  <c r="DN17" i="31"/>
  <c r="AL17" i="31"/>
  <c r="BZ16" i="31"/>
  <c r="CX15" i="31"/>
  <c r="CW17" i="31"/>
  <c r="DQ16" i="31"/>
  <c r="Y16" i="31"/>
  <c r="DO17" i="31"/>
  <c r="AQ16" i="31"/>
  <c r="M15" i="31"/>
  <c r="AW14" i="31"/>
  <c r="BG17" i="31"/>
  <c r="AU15" i="31"/>
  <c r="CI14" i="31"/>
  <c r="DL16" i="31"/>
  <c r="AT15" i="31"/>
  <c r="BP17" i="31"/>
  <c r="AM14" i="31"/>
  <c r="BG14" i="31"/>
  <c r="CF13" i="31"/>
  <c r="CF17" i="31"/>
  <c r="AE14" i="31"/>
  <c r="AU13" i="31"/>
  <c r="BF17" i="31"/>
  <c r="AX16" i="31"/>
  <c r="BJ15" i="31"/>
  <c r="AG17" i="31"/>
  <c r="U16" i="31"/>
  <c r="CQ17" i="31"/>
  <c r="DO15" i="31"/>
  <c r="BU14" i="31"/>
  <c r="AY17" i="31"/>
  <c r="CE15" i="31"/>
  <c r="CZ17" i="31"/>
  <c r="DP15" i="31"/>
  <c r="CT14" i="31"/>
  <c r="DT17" i="31"/>
  <c r="V14" i="31"/>
  <c r="DL17" i="31"/>
  <c r="DK13" i="31"/>
  <c r="K13" i="31"/>
  <c r="BD14" i="31"/>
  <c r="BN13" i="31"/>
  <c r="CO13" i="31"/>
  <c r="M13" i="31"/>
  <c r="BN16" i="31"/>
  <c r="DB16" i="31"/>
  <c r="DB17" i="31"/>
  <c r="CK17" i="31"/>
  <c r="AG16" i="31"/>
  <c r="AM17" i="31"/>
  <c r="DE14" i="31"/>
  <c r="BO17" i="31"/>
  <c r="AI15" i="31"/>
  <c r="BP16" i="31"/>
  <c r="CP14" i="31"/>
  <c r="DP16" i="31"/>
  <c r="BD13" i="31"/>
  <c r="AJ14" i="31"/>
  <c r="DD17" i="31"/>
  <c r="CL13" i="31"/>
  <c r="BZ13" i="31"/>
  <c r="AT17" i="31"/>
  <c r="DE17" i="31"/>
  <c r="CC16" i="31"/>
  <c r="BE15" i="31"/>
  <c r="AW15" i="31"/>
  <c r="U14" i="31"/>
  <c r="BG15" i="31"/>
  <c r="DD16" i="31"/>
  <c r="DA17" i="31"/>
  <c r="DW17" i="31"/>
  <c r="CE17" i="31"/>
  <c r="AN17" i="31"/>
  <c r="AJ17" i="31"/>
  <c r="DT13" i="31"/>
  <c r="BK14" i="31"/>
  <c r="CZ16" i="31"/>
  <c r="AP13" i="31"/>
  <c r="U13" i="31"/>
  <c r="CO17" i="31"/>
  <c r="DK16" i="31"/>
  <c r="CA16" i="31"/>
  <c r="BT14" i="31"/>
  <c r="CG13" i="31"/>
  <c r="CD17" i="31"/>
  <c r="Q17" i="31"/>
  <c r="CI15" i="31"/>
  <c r="AM16" i="31"/>
  <c r="BD15" i="31"/>
  <c r="BD16" i="31"/>
  <c r="AF13" i="31"/>
  <c r="BW13" i="31"/>
  <c r="DR13" i="31"/>
  <c r="N13" i="31"/>
  <c r="CY13" i="31"/>
  <c r="CH13" i="31"/>
  <c r="CM15" i="31"/>
  <c r="P15" i="31"/>
  <c r="DE13" i="31"/>
  <c r="BM17" i="31"/>
  <c r="BQ15" i="31"/>
  <c r="BI14" i="31"/>
  <c r="DC14" i="31"/>
  <c r="AX15" i="31"/>
  <c r="DQ13" i="31"/>
  <c r="CR13" i="31"/>
  <c r="BO13" i="31"/>
  <c r="AX13" i="31"/>
  <c r="AJ16" i="31"/>
  <c r="DS13" i="31"/>
  <c r="CM13" i="31"/>
  <c r="V16" i="31"/>
  <c r="R17" i="31"/>
  <c r="AY16" i="31"/>
  <c r="DW16" i="31"/>
  <c r="DT15" i="31"/>
  <c r="DO13" i="31"/>
  <c r="AL13" i="31"/>
  <c r="AE17" i="31"/>
  <c r="DC17" i="31"/>
  <c r="AS17" i="31"/>
  <c r="BH16" i="31"/>
  <c r="O14" i="31"/>
  <c r="DF17" i="31"/>
  <c r="BW14" i="31"/>
  <c r="DN16" i="31"/>
  <c r="CX17" i="31"/>
  <c r="V17" i="31"/>
  <c r="AT16" i="31"/>
  <c r="CH15" i="31"/>
  <c r="CG17" i="31"/>
  <c r="CK16" i="31"/>
  <c r="DE15" i="31"/>
  <c r="CI17" i="31"/>
  <c r="CY15" i="31"/>
  <c r="DI14" i="31"/>
  <c r="AG14" i="31"/>
  <c r="CI16" i="31"/>
  <c r="AE15" i="31"/>
  <c r="BS14" i="31"/>
  <c r="AZ16" i="31"/>
  <c r="AD15" i="31"/>
  <c r="AF16" i="31"/>
  <c r="DM13" i="31"/>
  <c r="AL14" i="31"/>
  <c r="BP13" i="31"/>
  <c r="BX15" i="31"/>
  <c r="DG13" i="31"/>
  <c r="AE13" i="31"/>
  <c r="N17" i="31"/>
  <c r="Z16" i="31"/>
  <c r="DQ17" i="31"/>
  <c r="DE16" i="31"/>
  <c r="DM15" i="31"/>
  <c r="AU17" i="31"/>
  <c r="AO15" i="31"/>
  <c r="BA14" i="31"/>
  <c r="K17" i="31"/>
  <c r="W15" i="31"/>
  <c r="BD17" i="31"/>
  <c r="CB15" i="31"/>
  <c r="BH15" i="31"/>
  <c r="CJ16" i="31"/>
  <c r="DH13" i="31"/>
  <c r="AF15" i="31"/>
  <c r="N14" i="31"/>
  <c r="AH13" i="31"/>
  <c r="BB13" i="31"/>
  <c r="AP16" i="31"/>
  <c r="DQ15" i="31"/>
  <c r="CQ14" i="31"/>
  <c r="X13" i="31"/>
  <c r="BV13" i="31"/>
  <c r="CC17" i="31"/>
  <c r="DK14" i="31"/>
  <c r="S16" i="31"/>
  <c r="AH14" i="31"/>
  <c r="BJ14" i="31"/>
  <c r="CS16" i="31"/>
  <c r="AZ17" i="31"/>
  <c r="Q16" i="31"/>
  <c r="BR15" i="31"/>
  <c r="W17" i="31"/>
  <c r="BC16" i="31"/>
  <c r="N15" i="31"/>
  <c r="AJ13" i="31"/>
  <c r="DJ16" i="31"/>
  <c r="CS15" i="31"/>
  <c r="AU16" i="31"/>
  <c r="CB14" i="31"/>
  <c r="BS13" i="31"/>
  <c r="BY13" i="31"/>
  <c r="CT16" i="31"/>
  <c r="BE14" i="31"/>
  <c r="AR14" i="31"/>
  <c r="AT14" i="31"/>
  <c r="AW17" i="31"/>
  <c r="DG16" i="31"/>
  <c r="AK15" i="31"/>
  <c r="AR13" i="31"/>
  <c r="BF16" i="31"/>
  <c r="BF14" i="31"/>
  <c r="BQ14" i="31"/>
  <c r="CN15" i="31"/>
  <c r="AP14" i="31"/>
  <c r="BF13" i="31"/>
  <c r="AR15" i="31"/>
  <c r="BH17" i="31"/>
  <c r="CX16" i="31"/>
  <c r="BK15" i="31"/>
  <c r="BX16" i="31"/>
  <c r="BR14" i="31"/>
  <c r="BO14" i="31"/>
  <c r="AQ14" i="31"/>
  <c r="AD16" i="31"/>
  <c r="T16" i="31"/>
  <c r="CT17" i="31"/>
  <c r="AC14" i="31"/>
  <c r="CF14" i="31"/>
  <c r="BZ15" i="31"/>
  <c r="BL15" i="31"/>
  <c r="AL16" i="31"/>
  <c r="AW16" i="31"/>
  <c r="Q13" i="31"/>
  <c r="CC15" i="31"/>
  <c r="DH16" i="31"/>
  <c r="W13" i="31"/>
  <c r="BN17" i="31"/>
  <c r="CB17" i="31"/>
  <c r="AR17" i="31"/>
  <c r="CH17" i="31"/>
  <c r="BA17" i="31"/>
  <c r="BS15" i="31"/>
  <c r="O15" i="31"/>
  <c r="CJ14" i="31"/>
  <c r="DT14" i="31"/>
  <c r="DV15" i="31"/>
  <c r="CE16" i="31"/>
  <c r="DS14" i="31"/>
  <c r="AZ15" i="31"/>
  <c r="L15" i="31"/>
  <c r="AX17" i="31"/>
  <c r="DM16" i="31"/>
  <c r="O16" i="31"/>
  <c r="AA14" i="31"/>
  <c r="Z13" i="31"/>
  <c r="DI15" i="31"/>
  <c r="CM14" i="31"/>
  <c r="CU15" i="31"/>
  <c r="BC13" i="31"/>
  <c r="AK16" i="31"/>
  <c r="DH14" i="31"/>
  <c r="AY15" i="31"/>
  <c r="CR14" i="31"/>
  <c r="BX17" i="31"/>
  <c r="BA13" i="31"/>
  <c r="CS13" i="31"/>
  <c r="CE13" i="31"/>
  <c r="S17" i="31"/>
  <c r="CV17" i="31"/>
  <c r="P13" i="31"/>
  <c r="BJ13" i="31"/>
  <c r="AQ13" i="31"/>
  <c r="CO15" i="31"/>
  <c r="DS17" i="31"/>
  <c r="P14" i="31"/>
  <c r="CG16" i="31"/>
  <c r="V15" i="31"/>
  <c r="DI13" i="31"/>
  <c r="DG15" i="31"/>
  <c r="BG13" i="31"/>
  <c r="DA14" i="31"/>
  <c r="CN17" i="31"/>
  <c r="CJ15" i="31"/>
  <c r="DB14" i="31"/>
  <c r="CP13" i="31"/>
  <c r="BL16" i="31"/>
  <c r="BG16" i="31"/>
  <c r="DL15" i="31"/>
  <c r="DF14" i="31"/>
  <c r="DF16" i="31"/>
  <c r="BU16" i="31"/>
  <c r="CS14" i="31"/>
  <c r="BL17" i="31"/>
  <c r="X16" i="31"/>
  <c r="CQ13" i="31"/>
  <c r="BY17" i="31"/>
  <c r="U15" i="31"/>
  <c r="P17" i="31"/>
  <c r="BT13" i="31"/>
  <c r="DJ13" i="31"/>
  <c r="CT15" i="31"/>
  <c r="BM15" i="31"/>
  <c r="DP17" i="31"/>
  <c r="T17" i="31"/>
  <c r="AK13" i="31"/>
  <c r="CM16" i="31"/>
  <c r="AP17" i="31"/>
  <c r="AL15" i="31"/>
  <c r="X14" i="31"/>
  <c r="AG15" i="31"/>
  <c r="BN15" i="31"/>
  <c r="CJ17" i="31"/>
  <c r="AF14" i="31"/>
  <c r="BP15" i="31"/>
  <c r="BH13" i="31"/>
  <c r="Y13" i="31"/>
  <c r="AN16" i="31"/>
  <c r="BQ16" i="31"/>
  <c r="AE16" i="31"/>
  <c r="X15" i="31"/>
  <c r="P16" i="31"/>
  <c r="AC13" i="31"/>
  <c r="AY14" i="31"/>
  <c r="DZ11" i="31" l="1"/>
  <c r="EA11" i="31" s="1" a="1"/>
  <c r="EA11" i="31" s="1"/>
  <c r="ED11" i="31"/>
  <c r="EE11" i="31" s="1" a="1"/>
  <c r="EE11" i="31" s="1"/>
  <c r="J24" i="31"/>
  <c r="J5" i="31" a="1"/>
  <c r="J5" i="31" s="1"/>
  <c r="J4" i="31" a="1"/>
  <c r="J4" i="31" s="1"/>
  <c r="J3" i="31" a="1"/>
  <c r="J3" i="31" s="1"/>
  <c r="J2" i="31" a="1"/>
  <c r="J2" i="31" s="1"/>
  <c r="ED6" i="31"/>
  <c r="EE6" i="31" s="1" a="1"/>
  <c r="EE6" i="31" s="1"/>
  <c r="DZ6" i="31"/>
  <c r="EA6" i="31" s="1" a="1"/>
  <c r="EA6" i="31" s="1"/>
  <c r="ED7" i="31"/>
  <c r="EE7" i="31" s="1" a="1"/>
  <c r="EE7" i="31" s="1"/>
  <c r="DZ7" i="31"/>
  <c r="EA7" i="31" s="1" a="1"/>
  <c r="EA7" i="31" s="1"/>
  <c r="ED8" i="31"/>
  <c r="EE8" i="31" s="1" a="1"/>
  <c r="EE8" i="31" s="1"/>
  <c r="DZ8" i="31"/>
  <c r="EA8" i="31" s="1" a="1"/>
  <c r="EA8" i="31" s="1"/>
  <c r="ED9" i="31"/>
  <c r="EE9" i="31" s="1" a="1"/>
  <c r="EE9" i="31" s="1"/>
  <c r="DZ9" i="31"/>
  <c r="EA9" i="31" s="1" a="1"/>
  <c r="EA9" i="31" s="1"/>
  <c r="ED10" i="31"/>
  <c r="EE10" i="31" s="1" a="1"/>
  <c r="EE10" i="31" s="1"/>
  <c r="DZ10" i="31"/>
  <c r="EA10" i="31" s="1" a="1"/>
  <c r="EA10" i="31" s="1"/>
  <c r="AK17" i="31"/>
  <c r="AA17" i="31"/>
  <c r="BK16" i="31"/>
  <c r="BI17" i="31"/>
  <c r="J16" i="31"/>
  <c r="J17" i="31"/>
  <c r="J15" i="31"/>
  <c r="J14" i="31"/>
  <c r="J13" i="31"/>
  <c r="BW15" i="31"/>
  <c r="DU15" i="31"/>
  <c r="DU16" i="31" s="1"/>
  <c r="ED14" i="31" l="1"/>
  <c r="EE14" i="31" s="1" a="1"/>
  <c r="EE14" i="31" s="1"/>
  <c r="DZ14" i="31"/>
  <c r="EA14" i="31" s="1" a="1"/>
  <c r="EA14" i="31" s="1"/>
  <c r="DZ13" i="31"/>
  <c r="EA13" i="31" s="1" a="1"/>
  <c r="EA13" i="31" s="1"/>
  <c r="ED13" i="31"/>
  <c r="EE13" i="31" s="1" a="1"/>
  <c r="EE13" i="31" s="1"/>
  <c r="DZ15" i="31"/>
  <c r="EA15" i="31" s="1" a="1"/>
  <c r="EA15" i="31" s="1"/>
  <c r="ED15" i="31"/>
  <c r="EE15" i="31" s="1" a="1"/>
  <c r="EE15" i="31" s="1"/>
  <c r="ED5" i="31"/>
  <c r="EE5" i="31" s="1" a="1"/>
  <c r="EE5" i="31" s="1"/>
  <c r="DZ5" i="31"/>
  <c r="EA5" i="31" s="1" a="1"/>
  <c r="EA5" i="31" s="1"/>
  <c r="ED2" i="31"/>
  <c r="EE2" i="31" s="1" a="1"/>
  <c r="EE2" i="31" s="1"/>
  <c r="EA2" i="31" a="1"/>
  <c r="EA2" i="31" s="1"/>
  <c r="ED3" i="31"/>
  <c r="EE3" i="31" s="1" a="1"/>
  <c r="EE3" i="31" s="1"/>
  <c r="DZ3" i="31"/>
  <c r="ED4" i="31"/>
  <c r="EE4" i="31" s="1" a="1"/>
  <c r="EE4" i="31" s="1"/>
  <c r="DZ4" i="31"/>
  <c r="EA4" i="31" s="1" a="1"/>
  <c r="EA4" i="31" s="1"/>
  <c r="DU17" i="31"/>
  <c r="BW16" i="31"/>
  <c r="BK17" i="31"/>
  <c r="DZ16" i="31" l="1"/>
  <c r="EA16" i="31" s="1" a="1"/>
  <c r="EA16" i="31" s="1"/>
  <c r="ED16" i="31"/>
  <c r="EE16" i="31" s="1" a="1"/>
  <c r="EE16" i="31" s="1"/>
  <c r="EA3" i="31" a="1"/>
  <c r="EA3" i="31" s="1"/>
  <c r="J29" i="31" s="1" a="1"/>
  <c r="J29" i="31" s="1"/>
  <c r="J30" i="31" a="1"/>
  <c r="J30" i="31" s="1"/>
  <c r="BW17" i="31"/>
  <c r="ED17" i="31" l="1"/>
  <c r="DZ17" i="31"/>
  <c r="EA17" i="31" s="1" a="1"/>
  <c r="EA17" i="31" s="1"/>
  <c r="EE17" i="31" l="1" a="1"/>
  <c r="EE17" i="31" s="1"/>
  <c r="J35" i="31" s="1" a="1"/>
  <c r="J35" i="31" s="1"/>
  <c r="J36" i="31" a="1"/>
  <c r="J36" i="3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<sst xmlns="http://schemas.openxmlformats.org/spreadsheetml/2006/main" count="11068" uniqueCount="1153">
  <si>
    <t>New York City</t>
  </si>
  <si>
    <t>New York</t>
  </si>
  <si>
    <t>Washington, D.C.</t>
  </si>
  <si>
    <t>District of Columbia</t>
  </si>
  <si>
    <t>San Francisco</t>
  </si>
  <si>
    <t>California</t>
  </si>
  <si>
    <t>Berlin</t>
  </si>
  <si>
    <t>Germany</t>
  </si>
  <si>
    <t>Los Angeles</t>
  </si>
  <si>
    <t>Bern</t>
  </si>
  <si>
    <t>Canton of Bern</t>
  </si>
  <si>
    <t>Switzerland</t>
  </si>
  <si>
    <t>Geneva</t>
  </si>
  <si>
    <t>Canton of Geneva</t>
  </si>
  <si>
    <t>Zurich</t>
  </si>
  <si>
    <t>Canton of Zurich</t>
  </si>
  <si>
    <t>Basel</t>
  </si>
  <si>
    <t>London</t>
  </si>
  <si>
    <t>England</t>
  </si>
  <si>
    <t>United Kingdom</t>
  </si>
  <si>
    <t>Cairo</t>
  </si>
  <si>
    <t>Cairo Governorate</t>
  </si>
  <si>
    <t>Egypt</t>
  </si>
  <si>
    <t>Alexandria</t>
  </si>
  <si>
    <t>Alexandria Governorate</t>
  </si>
  <si>
    <t>Virginia</t>
  </si>
  <si>
    <t>Paris</t>
  </si>
  <si>
    <t>Ile-de-France</t>
  </si>
  <si>
    <t>France</t>
  </si>
  <si>
    <t>Boston</t>
  </si>
  <si>
    <t>Massachusetts</t>
  </si>
  <si>
    <t>Toronto</t>
  </si>
  <si>
    <t>Ontario</t>
  </si>
  <si>
    <t>Canada</t>
  </si>
  <si>
    <t>Sao Paulo</t>
  </si>
  <si>
    <t>Brazil</t>
  </si>
  <si>
    <t>Vilnius</t>
  </si>
  <si>
    <t>Lithuania</t>
  </si>
  <si>
    <t>City of Brussels</t>
  </si>
  <si>
    <t>Belgium</t>
  </si>
  <si>
    <t>Poznan</t>
  </si>
  <si>
    <t>Greater Poland Voivodeship</t>
  </si>
  <si>
    <t>Poland</t>
  </si>
  <si>
    <t>Tashkent</t>
  </si>
  <si>
    <t>Uzbekistan</t>
  </si>
  <si>
    <t>Warsaw</t>
  </si>
  <si>
    <t>Masovian Voivodeship</t>
  </si>
  <si>
    <t>Modena</t>
  </si>
  <si>
    <t>Emilia-Romagna</t>
  </si>
  <si>
    <t>Italy</t>
  </si>
  <si>
    <t>Singapore</t>
  </si>
  <si>
    <t>Montreal</t>
  </si>
  <si>
    <t>Quebec</t>
  </si>
  <si>
    <t>Cambridge</t>
  </si>
  <si>
    <t>Cologne</t>
  </si>
  <si>
    <t>North Rhine-Westphalia</t>
  </si>
  <si>
    <t>Skopje</t>
  </si>
  <si>
    <t>Greater Skopje</t>
  </si>
  <si>
    <t>North Macedonia</t>
  </si>
  <si>
    <t>Gdynia</t>
  </si>
  <si>
    <t>Pomeranian Voivodeship</t>
  </si>
  <si>
    <t>Szczecin</t>
  </si>
  <si>
    <t>West Pomeranian Voivodeship</t>
  </si>
  <si>
    <t>Ljubljana</t>
  </si>
  <si>
    <t>Ljubljana City Municipality</t>
  </si>
  <si>
    <t>Slovenia</t>
  </si>
  <si>
    <t>Plovdiv</t>
  </si>
  <si>
    <t>Plovdiv region</t>
  </si>
  <si>
    <t>Bulgaria</t>
  </si>
  <si>
    <t>Sofia</t>
  </si>
  <si>
    <t>Sofia City Province</t>
  </si>
  <si>
    <t>Milan</t>
  </si>
  <si>
    <t>Lombardy</t>
  </si>
  <si>
    <t>Trieste</t>
  </si>
  <si>
    <t>Friuli-Venezia Giulia</t>
  </si>
  <si>
    <t>Lodz</t>
  </si>
  <si>
    <t>Lodz Voivodeship</t>
  </si>
  <si>
    <t>Oslo</t>
  </si>
  <si>
    <t>Norway</t>
  </si>
  <si>
    <t>Bonn</t>
  </si>
  <si>
    <t>Katowice</t>
  </si>
  <si>
    <t>Silesian Voivodeship</t>
  </si>
  <si>
    <t>Lisbon</t>
  </si>
  <si>
    <t>Portugal</t>
  </si>
  <si>
    <t>Dubai</t>
  </si>
  <si>
    <t>Emirate of Dubai</t>
  </si>
  <si>
    <t>United Arab Emirates</t>
  </si>
  <si>
    <t>Padua</t>
  </si>
  <si>
    <t>Veneto</t>
  </si>
  <si>
    <t>Bergamo</t>
  </si>
  <si>
    <t>Venice</t>
  </si>
  <si>
    <t>Rennes</t>
  </si>
  <si>
    <t>Lille</t>
  </si>
  <si>
    <t>Moscow</t>
  </si>
  <si>
    <t>Russia</t>
  </si>
  <si>
    <t>Saint Petersburg</t>
  </si>
  <si>
    <t>Lausanne</t>
  </si>
  <si>
    <t>Canton of Vaud</t>
  </si>
  <si>
    <t>Novosibirsk</t>
  </si>
  <si>
    <t>Novosibirsk Oblast</t>
  </si>
  <si>
    <t>Yekaterinburg</t>
  </si>
  <si>
    <t>Sverdlovsk Oblast</t>
  </si>
  <si>
    <t>Samara</t>
  </si>
  <si>
    <t>Samara Oblast</t>
  </si>
  <si>
    <t>Omsk</t>
  </si>
  <si>
    <t>Omsk Oblast</t>
  </si>
  <si>
    <t>Kazan</t>
  </si>
  <si>
    <t>Republic of Tatarstan</t>
  </si>
  <si>
    <t>Chelyabinsk</t>
  </si>
  <si>
    <t>Chelyabinsk Oblast</t>
  </si>
  <si>
    <t>Ufa</t>
  </si>
  <si>
    <t>Bashkortostan</t>
  </si>
  <si>
    <t>Volgograd</t>
  </si>
  <si>
    <t>Volgograd Oblast</t>
  </si>
  <si>
    <t>Perm</t>
  </si>
  <si>
    <t>Perm Krai</t>
  </si>
  <si>
    <t>Krasnoyarsk</t>
  </si>
  <si>
    <t>Krasnoyarsk Krai</t>
  </si>
  <si>
    <t>Beijing</t>
  </si>
  <si>
    <t>People's Republic of China</t>
  </si>
  <si>
    <t>Vladivostok</t>
  </si>
  <si>
    <t>Primorsky Krai</t>
  </si>
  <si>
    <t>San Antonio</t>
  </si>
  <si>
    <t>Texas</t>
  </si>
  <si>
    <t>Tomsk</t>
  </si>
  <si>
    <t>Tomsk Oblast</t>
  </si>
  <si>
    <t>Tbilisi</t>
  </si>
  <si>
    <t>Georgia</t>
  </si>
  <si>
    <t>Maribor</t>
  </si>
  <si>
    <t>Maribor City Municipality</t>
  </si>
  <si>
    <t>Aachen</t>
  </si>
  <si>
    <t>Stuttgart</t>
  </si>
  <si>
    <t>Baden-Wurttemberg</t>
  </si>
  <si>
    <t>Karlsruhe</t>
  </si>
  <si>
    <t>Hamburg</t>
  </si>
  <si>
    <t>Ahmedabad</t>
  </si>
  <si>
    <t>Gujarat</t>
  </si>
  <si>
    <t>India</t>
  </si>
  <si>
    <t>Prague</t>
  </si>
  <si>
    <t>Czech Republic</t>
  </si>
  <si>
    <t>Mumbai</t>
  </si>
  <si>
    <t>Maharashtra</t>
  </si>
  <si>
    <t>Jerusalem</t>
  </si>
  <si>
    <t>Jerusalem District</t>
  </si>
  <si>
    <t>Israel</t>
  </si>
  <si>
    <t>Grenoble</t>
  </si>
  <si>
    <t>Dortmund</t>
  </si>
  <si>
    <t>Ghent</t>
  </si>
  <si>
    <t>Flemish Region</t>
  </si>
  <si>
    <t>Chicago</t>
  </si>
  <si>
    <t>Illinois</t>
  </si>
  <si>
    <t>Montevideo</t>
  </si>
  <si>
    <t>Montevideo Department</t>
  </si>
  <si>
    <t>Uruguay</t>
  </si>
  <si>
    <t>Tolyatti</t>
  </si>
  <si>
    <t>Pittsburgh</t>
  </si>
  <si>
    <t>Pennsylvania</t>
  </si>
  <si>
    <t>Philadelphia</t>
  </si>
  <si>
    <t>Kolkata</t>
  </si>
  <si>
    <t>West Bengal</t>
  </si>
  <si>
    <t>Chennai</t>
  </si>
  <si>
    <t>Tamil Nadu</t>
  </si>
  <si>
    <t>Delhi</t>
  </si>
  <si>
    <t>Dhaka</t>
  </si>
  <si>
    <t>Dhaka Division</t>
  </si>
  <si>
    <t>Bangladesh</t>
  </si>
  <si>
    <t>Hyderabad</t>
  </si>
  <si>
    <t>Telangana</t>
  </si>
  <si>
    <t>Islamabad</t>
  </si>
  <si>
    <t>Islamabad Capital Territory</t>
  </si>
  <si>
    <t>Pakistan</t>
  </si>
  <si>
    <t>Zagreb</t>
  </si>
  <si>
    <t>Croatia</t>
  </si>
  <si>
    <t>Genoa</t>
  </si>
  <si>
    <t>Liguria</t>
  </si>
  <si>
    <t>Manila</t>
  </si>
  <si>
    <t>Metro Manila</t>
  </si>
  <si>
    <t>Philippines</t>
  </si>
  <si>
    <t>Quezon City</t>
  </si>
  <si>
    <t>Bordeaux</t>
  </si>
  <si>
    <t>Buenos Aires</t>
  </si>
  <si>
    <t>Argentina</t>
  </si>
  <si>
    <t>Mexico City</t>
  </si>
  <si>
    <t>Mexico</t>
  </si>
  <si>
    <t>Tokyo</t>
  </si>
  <si>
    <t>Japan</t>
  </si>
  <si>
    <t>La Paz</t>
  </si>
  <si>
    <t>La Paz Department</t>
  </si>
  <si>
    <t>Bolivia</t>
  </si>
  <si>
    <t>Barcelona</t>
  </si>
  <si>
    <t>Catalonia</t>
  </si>
  <si>
    <t>Spain</t>
  </si>
  <si>
    <t>Makati</t>
  </si>
  <si>
    <t>Nagpur</t>
  </si>
  <si>
    <t>Abu Dhabi</t>
  </si>
  <si>
    <t>Emirate of Abu Dhabi</t>
  </si>
  <si>
    <t>Athens</t>
  </si>
  <si>
    <t>Attica Region</t>
  </si>
  <si>
    <t>Greece</t>
  </si>
  <si>
    <t>Caracas</t>
  </si>
  <si>
    <t>Capital District</t>
  </si>
  <si>
    <t>Venezuela</t>
  </si>
  <si>
    <t>Pune</t>
  </si>
  <si>
    <t>Guatemala City</t>
  </si>
  <si>
    <t>Guatemala Department</t>
  </si>
  <si>
    <t>Guatemala</t>
  </si>
  <si>
    <t>Valenzuela</t>
  </si>
  <si>
    <t>Osijek</t>
  </si>
  <si>
    <t>Osijek-Baranja County</t>
  </si>
  <si>
    <t>Rijeka</t>
  </si>
  <si>
    <t>Primorje-Gorski Kotar County</t>
  </si>
  <si>
    <t>Split</t>
  </si>
  <si>
    <t>Split-Dalmatia County</t>
  </si>
  <si>
    <t>Hanover</t>
  </si>
  <si>
    <t>Lower Saxony</t>
  </si>
  <si>
    <t>Dubrovnik</t>
  </si>
  <si>
    <t>Dubrovnik-Neretva County</t>
  </si>
  <si>
    <t>Munich</t>
  </si>
  <si>
    <t>Bavaria</t>
  </si>
  <si>
    <t>Dresden</t>
  </si>
  <si>
    <t>Saxony</t>
  </si>
  <si>
    <t>Innsbruck</t>
  </si>
  <si>
    <t>Tyrol</t>
  </si>
  <si>
    <t>Austria</t>
  </si>
  <si>
    <t>Vienna</t>
  </si>
  <si>
    <t>Stockholm</t>
  </si>
  <si>
    <t>Stockholm County</t>
  </si>
  <si>
    <t>Sweden</t>
  </si>
  <si>
    <t>Helsinki</t>
  </si>
  <si>
    <t>Uusimaa</t>
  </si>
  <si>
    <t>Finland</t>
  </si>
  <si>
    <t>Dublin</t>
  </si>
  <si>
    <t>Ireland</t>
  </si>
  <si>
    <t>Reykjavik</t>
  </si>
  <si>
    <t>Iceland</t>
  </si>
  <si>
    <t>Tallinn</t>
  </si>
  <si>
    <t>Harju County</t>
  </si>
  <si>
    <t>Estonia</t>
  </si>
  <si>
    <t>Riga</t>
  </si>
  <si>
    <t>Latvia</t>
  </si>
  <si>
    <t>Bratislava</t>
  </si>
  <si>
    <t>Bratislava Region</t>
  </si>
  <si>
    <t>Slovakia</t>
  </si>
  <si>
    <t>Budapest</t>
  </si>
  <si>
    <t>Hungary</t>
  </si>
  <si>
    <t>Gdansk</t>
  </si>
  <si>
    <t>Frankfurt</t>
  </si>
  <si>
    <t>Hesse</t>
  </si>
  <si>
    <t>Wroclaw</t>
  </si>
  <si>
    <t>Lower Silesian Voivodeship</t>
  </si>
  <si>
    <t>Kochi</t>
  </si>
  <si>
    <t>Kerala</t>
  </si>
  <si>
    <t>Kaliningrad</t>
  </si>
  <si>
    <t>Kaliningrad Oblast</t>
  </si>
  <si>
    <t>Luxembourg</t>
  </si>
  <si>
    <t>Phnom Penh</t>
  </si>
  <si>
    <t>Cambodia</t>
  </si>
  <si>
    <t>Ho Chi Minh City</t>
  </si>
  <si>
    <t>Vietnam</t>
  </si>
  <si>
    <t>Hanoi</t>
  </si>
  <si>
    <t>Bangkok</t>
  </si>
  <si>
    <t>Thailand</t>
  </si>
  <si>
    <t>Kuala Lumpur</t>
  </si>
  <si>
    <t>Malaysia</t>
  </si>
  <si>
    <t>Taipei</t>
  </si>
  <si>
    <t>Taiwan</t>
  </si>
  <si>
    <t>Odessa</t>
  </si>
  <si>
    <t>Odessa Oblast</t>
  </si>
  <si>
    <t>Ukraine</t>
  </si>
  <si>
    <t>Concepcion</t>
  </si>
  <si>
    <t>Biobio Region</t>
  </si>
  <si>
    <t>Chile</t>
  </si>
  <si>
    <t>Bologna</t>
  </si>
  <si>
    <t>Cagliari</t>
  </si>
  <si>
    <t>Sardinia</t>
  </si>
  <si>
    <t>Catania</t>
  </si>
  <si>
    <t>Sicily</t>
  </si>
  <si>
    <t>Ottawa</t>
  </si>
  <si>
    <t>Yerevan</t>
  </si>
  <si>
    <t>Armenia</t>
  </si>
  <si>
    <t>Dar es Salaam</t>
  </si>
  <si>
    <t>Dar es Salaam Region</t>
  </si>
  <si>
    <t>Tanzania</t>
  </si>
  <si>
    <t>Khartoum</t>
  </si>
  <si>
    <t>Sudan</t>
  </si>
  <si>
    <t>Verona</t>
  </si>
  <si>
    <t>Florence</t>
  </si>
  <si>
    <t>Tuscany</t>
  </si>
  <si>
    <t>Essen</t>
  </si>
  <si>
    <t>Leipzig</t>
  </si>
  <si>
    <t>St. John's</t>
  </si>
  <si>
    <t>Newfoundland and Labrador</t>
  </si>
  <si>
    <t>Nuremberg</t>
  </si>
  <si>
    <t>Edmonton</t>
  </si>
  <si>
    <t>Mannheim</t>
  </si>
  <si>
    <t>Regina</t>
  </si>
  <si>
    <t>Saskatchewan</t>
  </si>
  <si>
    <t>Victoria</t>
  </si>
  <si>
    <t>British Columbia</t>
  </si>
  <si>
    <t>Winnipeg</t>
  </si>
  <si>
    <t>Manitoba</t>
  </si>
  <si>
    <t>Fredericton</t>
  </si>
  <si>
    <t>New Brunswick</t>
  </si>
  <si>
    <t>Halifax</t>
  </si>
  <si>
    <t>Nova Scotia</t>
  </si>
  <si>
    <t>Quebec City</t>
  </si>
  <si>
    <t>Birmingham</t>
  </si>
  <si>
    <t>Minsk</t>
  </si>
  <si>
    <t>Belarus</t>
  </si>
  <si>
    <t>Nassau</t>
  </si>
  <si>
    <t>The Bahamas</t>
  </si>
  <si>
    <t>Naples</t>
  </si>
  <si>
    <t>Campania</t>
  </si>
  <si>
    <t>Palermo</t>
  </si>
  <si>
    <t>Parma</t>
  </si>
  <si>
    <t>Augsburg</t>
  </si>
  <si>
    <t>Madrid</t>
  </si>
  <si>
    <t>Community of Madrid</t>
  </si>
  <si>
    <t>Freiburg im Breisgau</t>
  </si>
  <si>
    <t>Bogota</t>
  </si>
  <si>
    <t>Colombia</t>
  </si>
  <si>
    <t>Brasilia</t>
  </si>
  <si>
    <t>Federal District</t>
  </si>
  <si>
    <t>Lima</t>
  </si>
  <si>
    <t>Lima region</t>
  </si>
  <si>
    <t>Peru</t>
  </si>
  <si>
    <t>Santiago</t>
  </si>
  <si>
    <t>Santiago Metropolitan Region</t>
  </si>
  <si>
    <t>Quito</t>
  </si>
  <si>
    <t>Pichincha Province</t>
  </si>
  <si>
    <t>Ecuador</t>
  </si>
  <si>
    <t>Asuncion</t>
  </si>
  <si>
    <t>Paraguay</t>
  </si>
  <si>
    <t>Heidelberg</t>
  </si>
  <si>
    <t>Paramaribo</t>
  </si>
  <si>
    <t>Paramaribo District</t>
  </si>
  <si>
    <t>Suriname</t>
  </si>
  <si>
    <t>Kathmandu</t>
  </si>
  <si>
    <t>Bagmati</t>
  </si>
  <si>
    <t>Nepal</t>
  </si>
  <si>
    <t>San Jose</t>
  </si>
  <si>
    <t>San Jose Province</t>
  </si>
  <si>
    <t>Costa Rica</t>
  </si>
  <si>
    <t>San Salvador</t>
  </si>
  <si>
    <t>San Salvador Department</t>
  </si>
  <si>
    <t>El Salvador</t>
  </si>
  <si>
    <t>Canberra</t>
  </si>
  <si>
    <t>Australian Capital Territory</t>
  </si>
  <si>
    <t>Australia</t>
  </si>
  <si>
    <t>Sydney</t>
  </si>
  <si>
    <t>Melbourne</t>
  </si>
  <si>
    <t>Perth</t>
  </si>
  <si>
    <t>Western Australia</t>
  </si>
  <si>
    <t>Tegucigalpa</t>
  </si>
  <si>
    <t>Francisco Morazan Department</t>
  </si>
  <si>
    <t>Honduras</t>
  </si>
  <si>
    <t>Managua</t>
  </si>
  <si>
    <t>Managua Department</t>
  </si>
  <si>
    <t>Nicaragua</t>
  </si>
  <si>
    <t>Panama City</t>
  </si>
  <si>
    <t>Panama Province</t>
  </si>
  <si>
    <t>Panama</t>
  </si>
  <si>
    <t>Zadar</t>
  </si>
  <si>
    <t>Zadar County</t>
  </si>
  <si>
    <t>Trento</t>
  </si>
  <si>
    <t>Trentino-South Tyrol</t>
  </si>
  <si>
    <t>Voronezh</t>
  </si>
  <si>
    <t>Voronezh Oblast</t>
  </si>
  <si>
    <t>Bari</t>
  </si>
  <si>
    <t>Apulia</t>
  </si>
  <si>
    <t>Rabat</t>
  </si>
  <si>
    <t>Rabat-Sale-Kenitra</t>
  </si>
  <si>
    <t>Morocco</t>
  </si>
  <si>
    <t>Algiers</t>
  </si>
  <si>
    <t>Algiers Province</t>
  </si>
  <si>
    <t>Algeria</t>
  </si>
  <si>
    <t>Tunis</t>
  </si>
  <si>
    <t>Tunis Governorate</t>
  </si>
  <si>
    <t>Tunisia</t>
  </si>
  <si>
    <t>Tripoli</t>
  </si>
  <si>
    <t>Libya</t>
  </si>
  <si>
    <t>Tehran</t>
  </si>
  <si>
    <t>Tehran Province</t>
  </si>
  <si>
    <t>Iran</t>
  </si>
  <si>
    <t>Jakarta</t>
  </si>
  <si>
    <t>Indonesia</t>
  </si>
  <si>
    <t>Ankara</t>
  </si>
  <si>
    <t>Ankara Province</t>
  </si>
  <si>
    <t>Turkey</t>
  </si>
  <si>
    <t>Krasnodar</t>
  </si>
  <si>
    <t>Krasnodar Krai</t>
  </si>
  <si>
    <t>Riyadh</t>
  </si>
  <si>
    <t>Riyadh Province</t>
  </si>
  <si>
    <t>Saudi Arabia</t>
  </si>
  <si>
    <t>Belgrade</t>
  </si>
  <si>
    <t>Belgrade District</t>
  </si>
  <si>
    <t>Serbia</t>
  </si>
  <si>
    <t>Accra</t>
  </si>
  <si>
    <t>Greater Accra Region</t>
  </si>
  <si>
    <t>Ghana</t>
  </si>
  <si>
    <t>Amman</t>
  </si>
  <si>
    <t>Amman Governorate</t>
  </si>
  <si>
    <t>Jordan</t>
  </si>
  <si>
    <t>Beirut</t>
  </si>
  <si>
    <t>Beirut Governorate</t>
  </si>
  <si>
    <t>Lebanon</t>
  </si>
  <si>
    <t>Muscat</t>
  </si>
  <si>
    <t>Muscat Governorate</t>
  </si>
  <si>
    <t>Oman</t>
  </si>
  <si>
    <t>Doha</t>
  </si>
  <si>
    <t>Ad Dawhah</t>
  </si>
  <si>
    <t>Qatar</t>
  </si>
  <si>
    <t>Nairobi</t>
  </si>
  <si>
    <t>Kenya</t>
  </si>
  <si>
    <t>Manama</t>
  </si>
  <si>
    <t>Capital Governorate</t>
  </si>
  <si>
    <t>Bahrain</t>
  </si>
  <si>
    <t>Maputo</t>
  </si>
  <si>
    <t>Mozambique</t>
  </si>
  <si>
    <t>Kampala</t>
  </si>
  <si>
    <t>Uganda</t>
  </si>
  <si>
    <t>Gaborone</t>
  </si>
  <si>
    <t>South-East District</t>
  </si>
  <si>
    <t>Botswana</t>
  </si>
  <si>
    <t>Harare</t>
  </si>
  <si>
    <t>Zimbabwe</t>
  </si>
  <si>
    <t>Pretoria</t>
  </si>
  <si>
    <t>Gauteng</t>
  </si>
  <si>
    <t>South Africa</t>
  </si>
  <si>
    <t>Port Louis</t>
  </si>
  <si>
    <t>Port Louis District</t>
  </si>
  <si>
    <t>Mauritius</t>
  </si>
  <si>
    <t>Windhoek</t>
  </si>
  <si>
    <t>Khomas Region</t>
  </si>
  <si>
    <t>Namibia</t>
  </si>
  <si>
    <t>Glasgow</t>
  </si>
  <si>
    <t>Scotland</t>
  </si>
  <si>
    <t>Curitiba</t>
  </si>
  <si>
    <t>Parana</t>
  </si>
  <si>
    <t>Surat</t>
  </si>
  <si>
    <t>Pula</t>
  </si>
  <si>
    <t>Istria County</t>
  </si>
  <si>
    <t>Hangzhou</t>
  </si>
  <si>
    <t>Zhejiang</t>
  </si>
  <si>
    <t>Seattle</t>
  </si>
  <si>
    <t>Washington</t>
  </si>
  <si>
    <t>Baltimore</t>
  </si>
  <si>
    <t>Maryland</t>
  </si>
  <si>
    <t>Adelaide</t>
  </si>
  <si>
    <t>South Australia</t>
  </si>
  <si>
    <t>Saratov</t>
  </si>
  <si>
    <t>Saratov Oblast</t>
  </si>
  <si>
    <t>Izhevsk</t>
  </si>
  <si>
    <t>Udmurt Republic</t>
  </si>
  <si>
    <t>Cape Town</t>
  </si>
  <si>
    <t>Western Cape</t>
  </si>
  <si>
    <t>Durban</t>
  </si>
  <si>
    <t>KwaZulu-Natal</t>
  </si>
  <si>
    <t>Treviso</t>
  </si>
  <si>
    <t>Mecca</t>
  </si>
  <si>
    <t>Mecca Province</t>
  </si>
  <si>
    <t>Tyumen</t>
  </si>
  <si>
    <t>Tyumen Oblast</t>
  </si>
  <si>
    <t>Medan</t>
  </si>
  <si>
    <t>North Sumatra</t>
  </si>
  <si>
    <t>Barnaul</t>
  </si>
  <si>
    <t>Altai Krai</t>
  </si>
  <si>
    <t>Kemerovo</t>
  </si>
  <si>
    <t>Kemerovo Oblast</t>
  </si>
  <si>
    <t>Portland</t>
  </si>
  <si>
    <t>Oregon</t>
  </si>
  <si>
    <t>Brescia</t>
  </si>
  <si>
    <t>Coventry</t>
  </si>
  <si>
    <t>Indianapolis</t>
  </si>
  <si>
    <t>Indiana</t>
  </si>
  <si>
    <t>Montpellier</t>
  </si>
  <si>
    <t>Antalya</t>
  </si>
  <si>
    <t>Antalya Province</t>
  </si>
  <si>
    <t>Varna</t>
  </si>
  <si>
    <t>Varna Province</t>
  </si>
  <si>
    <t>Burgas</t>
  </si>
  <si>
    <t>Burgas Province</t>
  </si>
  <si>
    <t>Irkutsk</t>
  </si>
  <si>
    <t>Irkutsk Oblast</t>
  </si>
  <si>
    <t>Strasbourg</t>
  </si>
  <si>
    <t>Lugano</t>
  </si>
  <si>
    <t>Ticino</t>
  </si>
  <si>
    <t>Yogyakarta City</t>
  </si>
  <si>
    <t>Special Region of Yogyakarta</t>
  </si>
  <si>
    <t>Toulouse</t>
  </si>
  <si>
    <t>Casablanca</t>
  </si>
  <si>
    <t>Casablanca-Settat</t>
  </si>
  <si>
    <t>Ostrava</t>
  </si>
  <si>
    <t>Miami</t>
  </si>
  <si>
    <t>Florida</t>
  </si>
  <si>
    <t>Karachi</t>
  </si>
  <si>
    <t>Sindh</t>
  </si>
  <si>
    <t>Lagos</t>
  </si>
  <si>
    <t>Nigeria</t>
  </si>
  <si>
    <t>Rio de Janeiro</t>
  </si>
  <si>
    <t>Seoul</t>
  </si>
  <si>
    <t>South Korea</t>
  </si>
  <si>
    <t>Shanghai</t>
  </si>
  <si>
    <t>Bilbao</t>
  </si>
  <si>
    <t>Basque Autonomous Community</t>
  </si>
  <si>
    <t>Seville</t>
  </si>
  <si>
    <t>Andalusia</t>
  </si>
  <si>
    <t>Vigo</t>
  </si>
  <si>
    <t>Galicia</t>
  </si>
  <si>
    <t>Granada</t>
  </si>
  <si>
    <t>Valencia</t>
  </si>
  <si>
    <t>Community of Valencia</t>
  </si>
  <si>
    <t>Palma</t>
  </si>
  <si>
    <t>Balearic Islands</t>
  </si>
  <si>
    <t>Malaga</t>
  </si>
  <si>
    <t>Cancun</t>
  </si>
  <si>
    <t>Quintana Roo</t>
  </si>
  <si>
    <t>Guadalajara</t>
  </si>
  <si>
    <t>Jalisco</t>
  </si>
  <si>
    <t>Baku</t>
  </si>
  <si>
    <t>Azerbaijan</t>
  </si>
  <si>
    <t>Bandar Seri Begawan</t>
  </si>
  <si>
    <t>Brunei-Muara District</t>
  </si>
  <si>
    <t>Brunei</t>
  </si>
  <si>
    <t>Male</t>
  </si>
  <si>
    <t>Kaafu Atoll</t>
  </si>
  <si>
    <t>Maldives</t>
  </si>
  <si>
    <t>Bishkek</t>
  </si>
  <si>
    <t>Kyrgyzstan</t>
  </si>
  <si>
    <t>Coimbatore</t>
  </si>
  <si>
    <t>Mysore</t>
  </si>
  <si>
    <t>Karnataka</t>
  </si>
  <si>
    <t>Bandung</t>
  </si>
  <si>
    <t>West Java</t>
  </si>
  <si>
    <t>Saskatoon</t>
  </si>
  <si>
    <t>Belfast</t>
  </si>
  <si>
    <t>Northern Ireland</t>
  </si>
  <si>
    <t>Cardiff</t>
  </si>
  <si>
    <t>Wales</t>
  </si>
  <si>
    <t>Sarajevo</t>
  </si>
  <si>
    <t>Federation of Bosnia and Herzegovina</t>
  </si>
  <si>
    <t>Bosnia and Herzegovina</t>
  </si>
  <si>
    <t>Surabaya</t>
  </si>
  <si>
    <t>East Java</t>
  </si>
  <si>
    <t>Darwin</t>
  </si>
  <si>
    <t>Northern Territory</t>
  </si>
  <si>
    <t>Lahore</t>
  </si>
  <si>
    <t>Punjab</t>
  </si>
  <si>
    <t>Wuhan</t>
  </si>
  <si>
    <t>Hubei</t>
  </si>
  <si>
    <t>Nagoya</t>
  </si>
  <si>
    <t>Aichi Prefecture</t>
  </si>
  <si>
    <t>Rajkot</t>
  </si>
  <si>
    <t>Vadodara</t>
  </si>
  <si>
    <t>Alicante</t>
  </si>
  <si>
    <t>Nantes</t>
  </si>
  <si>
    <t>Detroit</t>
  </si>
  <si>
    <t>Michigan</t>
  </si>
  <si>
    <t>Graz</t>
  </si>
  <si>
    <t>Styria</t>
  </si>
  <si>
    <t>Pisa</t>
  </si>
  <si>
    <t>Tartu</t>
  </si>
  <si>
    <t>Tartu County</t>
  </si>
  <si>
    <t>Brno</t>
  </si>
  <si>
    <t>Shenzhen</t>
  </si>
  <si>
    <t>Guangdong</t>
  </si>
  <si>
    <t>Nanaimo</t>
  </si>
  <si>
    <t>Busan</t>
  </si>
  <si>
    <t>San Diego</t>
  </si>
  <si>
    <t>Denver</t>
  </si>
  <si>
    <t>Colorado</t>
  </si>
  <si>
    <t>Houston</t>
  </si>
  <si>
    <t>Phoenix</t>
  </si>
  <si>
    <t>Arizona</t>
  </si>
  <si>
    <t>Dallas</t>
  </si>
  <si>
    <t>Fort Worth</t>
  </si>
  <si>
    <t>Austin</t>
  </si>
  <si>
    <t>El Paso</t>
  </si>
  <si>
    <t>Memphis</t>
  </si>
  <si>
    <t>Tennessee</t>
  </si>
  <si>
    <t>Charlotte</t>
  </si>
  <si>
    <t>North Carolina</t>
  </si>
  <si>
    <t>Jacksonville</t>
  </si>
  <si>
    <t>Guangzhou</t>
  </si>
  <si>
    <t>Nanjing</t>
  </si>
  <si>
    <t>Jiangsu</t>
  </si>
  <si>
    <t>Long Beach</t>
  </si>
  <si>
    <t>Oakland</t>
  </si>
  <si>
    <t>Thessaloniki</t>
  </si>
  <si>
    <t>Sacramento</t>
  </si>
  <si>
    <t>Honolulu</t>
  </si>
  <si>
    <t>Hawaii</t>
  </si>
  <si>
    <t>Manchester</t>
  </si>
  <si>
    <t>Providence</t>
  </si>
  <si>
    <t>Rhode Island</t>
  </si>
  <si>
    <t>Brooklyn</t>
  </si>
  <si>
    <t>Tucson</t>
  </si>
  <si>
    <t>Simferopol</t>
  </si>
  <si>
    <t>Republic of Crimea</t>
  </si>
  <si>
    <t>Bucharest</t>
  </si>
  <si>
    <t>Romania</t>
  </si>
  <si>
    <t>Tirana</t>
  </si>
  <si>
    <t>Tirana County</t>
  </si>
  <si>
    <t>Albania</t>
  </si>
  <si>
    <t>Bath</t>
  </si>
  <si>
    <t>Bradford</t>
  </si>
  <si>
    <t>Red Deer</t>
  </si>
  <si>
    <t>Alberta</t>
  </si>
  <si>
    <t>Bristol</t>
  </si>
  <si>
    <t>Nashville</t>
  </si>
  <si>
    <t>Salt Lake City</t>
  </si>
  <si>
    <t>Utah</t>
  </si>
  <si>
    <t>Ulaanbaatar</t>
  </si>
  <si>
    <t>Mongolia</t>
  </si>
  <si>
    <t>Edinburgh</t>
  </si>
  <si>
    <t>Marseille</t>
  </si>
  <si>
    <t>Atlanta</t>
  </si>
  <si>
    <t>Podgorica</t>
  </si>
  <si>
    <t>Podgorica Municipality</t>
  </si>
  <si>
    <t>Montenegro</t>
  </si>
  <si>
    <t>Wellington</t>
  </si>
  <si>
    <t>Wellington Region</t>
  </si>
  <si>
    <t>New Zealand</t>
  </si>
  <si>
    <t>Las Vegas</t>
  </si>
  <si>
    <t>Nevada</t>
  </si>
  <si>
    <t>Valletta</t>
  </si>
  <si>
    <t>Malta</t>
  </si>
  <si>
    <t>Vancouver</t>
  </si>
  <si>
    <t>Liverpool</t>
  </si>
  <si>
    <t>Albany</t>
  </si>
  <si>
    <t>Bremen</t>
  </si>
  <si>
    <t>Uppsala</t>
  </si>
  <si>
    <t>Uppsala County</t>
  </si>
  <si>
    <t>Gothenburg</t>
  </si>
  <si>
    <t>Vastra Gotaland County</t>
  </si>
  <si>
    <t>Kosice</t>
  </si>
  <si>
    <t>Kosice Region</t>
  </si>
  <si>
    <t>Funchal</t>
  </si>
  <si>
    <t>Madeira</t>
  </si>
  <si>
    <t>Batumi</t>
  </si>
  <si>
    <t>Adjara</t>
  </si>
  <si>
    <t>Trondheim</t>
  </si>
  <si>
    <t>Trondelag</t>
  </si>
  <si>
    <t>Jersey City</t>
  </si>
  <si>
    <t>New Jersey</t>
  </si>
  <si>
    <t>Bergen</t>
  </si>
  <si>
    <t>Vestland</t>
  </si>
  <si>
    <t>Martin</t>
  </si>
  <si>
    <t>Zilina region</t>
  </si>
  <si>
    <t>Baton Rouge</t>
  </si>
  <si>
    <t>Louisiana</t>
  </si>
  <si>
    <t>Lincoln</t>
  </si>
  <si>
    <t>Nebraska</t>
  </si>
  <si>
    <t>Springfield</t>
  </si>
  <si>
    <t>Saint Paul</t>
  </si>
  <si>
    <t>Minnesota</t>
  </si>
  <si>
    <t>Chengdu</t>
  </si>
  <si>
    <t>Sichuan</t>
  </si>
  <si>
    <t>Heredia</t>
  </si>
  <si>
    <t>Heredia Province</t>
  </si>
  <si>
    <t>Burlington</t>
  </si>
  <si>
    <t>Vermont</t>
  </si>
  <si>
    <t>Krakow</t>
  </si>
  <si>
    <t>Lesser Poland Voivodeship</t>
  </si>
  <si>
    <t>Little Rock</t>
  </si>
  <si>
    <t>Arkansas</t>
  </si>
  <si>
    <t>Hartford</t>
  </si>
  <si>
    <t>Connecticut</t>
  </si>
  <si>
    <t>Nice</t>
  </si>
  <si>
    <t>Fargo</t>
  </si>
  <si>
    <t>North Dakota</t>
  </si>
  <si>
    <t>Thunder Bay</t>
  </si>
  <si>
    <t>Barrie</t>
  </si>
  <si>
    <t>Oxford</t>
  </si>
  <si>
    <t>New Orleans</t>
  </si>
  <si>
    <t>Johannesburg</t>
  </si>
  <si>
    <t>Kingston</t>
  </si>
  <si>
    <t>Surrey County</t>
  </si>
  <si>
    <t>Jamaica</t>
  </si>
  <si>
    <t>Salzburg</t>
  </si>
  <si>
    <t>Dayton</t>
  </si>
  <si>
    <t>Ohio</t>
  </si>
  <si>
    <t>Albuquerque</t>
  </si>
  <si>
    <t>New Mexico</t>
  </si>
  <si>
    <t>Santo Domingo</t>
  </si>
  <si>
    <t>Dominican Republic</t>
  </si>
  <si>
    <t>Oklahoma City</t>
  </si>
  <si>
    <t>Oklahoma</t>
  </si>
  <si>
    <t>Brisbane</t>
  </si>
  <si>
    <t>Queensland</t>
  </si>
  <si>
    <t>Kuwait City</t>
  </si>
  <si>
    <t>Kuwait</t>
  </si>
  <si>
    <t>Colombo</t>
  </si>
  <si>
    <t>Western Province</t>
  </si>
  <si>
    <t>Sri Lanka</t>
  </si>
  <si>
    <t>Almaty</t>
  </si>
  <si>
    <t>Kazakhstan</t>
  </si>
  <si>
    <t>Osaka</t>
  </si>
  <si>
    <t>Osaka Prefecture</t>
  </si>
  <si>
    <t>Boise</t>
  </si>
  <si>
    <t>Idaho</t>
  </si>
  <si>
    <t>Izmir</t>
  </si>
  <si>
    <t>Izmir Province</t>
  </si>
  <si>
    <t>Lviv</t>
  </si>
  <si>
    <t>Lviv Oblast</t>
  </si>
  <si>
    <t>Minneapolis</t>
  </si>
  <si>
    <t>Calgary</t>
  </si>
  <si>
    <t>Aberdeen</t>
  </si>
  <si>
    <t>Porto</t>
  </si>
  <si>
    <t>Cork</t>
  </si>
  <si>
    <t>Salvador</t>
  </si>
  <si>
    <t>Bahia</t>
  </si>
  <si>
    <t>Tallahassee</t>
  </si>
  <si>
    <t>Auckland</t>
  </si>
  <si>
    <t>Auckland Region</t>
  </si>
  <si>
    <t>Cleveland</t>
  </si>
  <si>
    <t>Lublin</t>
  </si>
  <si>
    <t>Lublin Voivodeship</t>
  </si>
  <si>
    <t>Milwaukee</t>
  </si>
  <si>
    <t>Wisconsin</t>
  </si>
  <si>
    <t>Columbia</t>
  </si>
  <si>
    <t>South Carolina</t>
  </si>
  <si>
    <t>Turku</t>
  </si>
  <si>
    <t>Adana</t>
  </si>
  <si>
    <t>Adana Province</t>
  </si>
  <si>
    <t>Santa Fe</t>
  </si>
  <si>
    <t>Suva</t>
  </si>
  <si>
    <t>Central Division</t>
  </si>
  <si>
    <t>Fiji</t>
  </si>
  <si>
    <t>Leeds</t>
  </si>
  <si>
    <t>Port of Spain</t>
  </si>
  <si>
    <t>Trinidad and Tobago</t>
  </si>
  <si>
    <t>Sochi</t>
  </si>
  <si>
    <t>Anchorage</t>
  </si>
  <si>
    <t>Alaska</t>
  </si>
  <si>
    <t>Des Moines</t>
  </si>
  <si>
    <t>Iowa</t>
  </si>
  <si>
    <t>Hobart</t>
  </si>
  <si>
    <t>Tasmania</t>
  </si>
  <si>
    <t>Manaus</t>
  </si>
  <si>
    <t>Amazonas</t>
  </si>
  <si>
    <t>Porto Alegre</t>
  </si>
  <si>
    <t>Rio Grande do Sul</t>
  </si>
  <si>
    <t>Buffalo</t>
  </si>
  <si>
    <t>Bursa</t>
  </si>
  <si>
    <t>Bursa Province</t>
  </si>
  <si>
    <t>Tampere</t>
  </si>
  <si>
    <t>Raleigh</t>
  </si>
  <si>
    <t>Bydgoszcz</t>
  </si>
  <si>
    <t>Kuyavian-Pomeranian Voivodeship</t>
  </si>
  <si>
    <t>Nottingham</t>
  </si>
  <si>
    <t>Linz</t>
  </si>
  <si>
    <t>Upper Austria</t>
  </si>
  <si>
    <t>Mykolaiv</t>
  </si>
  <si>
    <t>Mykolaiv Oblast</t>
  </si>
  <si>
    <t>Haifa</t>
  </si>
  <si>
    <t>Haifa District</t>
  </si>
  <si>
    <t>Kansas City</t>
  </si>
  <si>
    <t>Missouri</t>
  </si>
  <si>
    <t>Beersheba</t>
  </si>
  <si>
    <t>Southern District</t>
  </si>
  <si>
    <t>Isfahan</t>
  </si>
  <si>
    <t>Isfahan Province</t>
  </si>
  <si>
    <t>Kharkiv</t>
  </si>
  <si>
    <t>Kharkiv Oblast</t>
  </si>
  <si>
    <t>Sheffield</t>
  </si>
  <si>
    <t>York</t>
  </si>
  <si>
    <t>Suzhou</t>
  </si>
  <si>
    <t>Olympia</t>
  </si>
  <si>
    <t>Belo Horizonte</t>
  </si>
  <si>
    <t>Minas Gerais</t>
  </si>
  <si>
    <t>Cincinnati</t>
  </si>
  <si>
    <t>Omaha</t>
  </si>
  <si>
    <t>Fresno</t>
  </si>
  <si>
    <t>Plymouth</t>
  </si>
  <si>
    <t>Richmond</t>
  </si>
  <si>
    <t>Chandigarh</t>
  </si>
  <si>
    <t>Plzen</t>
  </si>
  <si>
    <t>Fortaleza</t>
  </si>
  <si>
    <t>Ceara</t>
  </si>
  <si>
    <t>Derby</t>
  </si>
  <si>
    <t>Guayaquil</t>
  </si>
  <si>
    <t>Guayas Province</t>
  </si>
  <si>
    <t>Louisville</t>
  </si>
  <si>
    <t>Kentucky</t>
  </si>
  <si>
    <t>Madison</t>
  </si>
  <si>
    <t>Salem</t>
  </si>
  <si>
    <t>Markham</t>
  </si>
  <si>
    <t>La Plata</t>
  </si>
  <si>
    <t>Buenos Aires Province</t>
  </si>
  <si>
    <t>Brampton</t>
  </si>
  <si>
    <t>Cordoba</t>
  </si>
  <si>
    <t>Cordoba Province</t>
  </si>
  <si>
    <t>Mendoza</t>
  </si>
  <si>
    <t>Tulsa</t>
  </si>
  <si>
    <t>Coimbra</t>
  </si>
  <si>
    <t>Espoo</t>
  </si>
  <si>
    <t>Oulu</t>
  </si>
  <si>
    <t>Palo Alto</t>
  </si>
  <si>
    <t>Charleston</t>
  </si>
  <si>
    <t>Lucknow</t>
  </si>
  <si>
    <t>Uttar Pradesh</t>
  </si>
  <si>
    <t>Dnipro</t>
  </si>
  <si>
    <t>Dnipropetrovsk Oblast</t>
  </si>
  <si>
    <t>Medellin</t>
  </si>
  <si>
    <t>Antioquia Department</t>
  </si>
  <si>
    <t>Kayseri</t>
  </si>
  <si>
    <t>Kayseri Province</t>
  </si>
  <si>
    <t>Recife</t>
  </si>
  <si>
    <t>Pernambuco</t>
  </si>
  <si>
    <t>Amritsar</t>
  </si>
  <si>
    <t>San Luis Obispo</t>
  </si>
  <si>
    <t>New Haven</t>
  </si>
  <si>
    <t>Stamford</t>
  </si>
  <si>
    <t>Maine</t>
  </si>
  <si>
    <t>Rochester</t>
  </si>
  <si>
    <t>Irvine</t>
  </si>
  <si>
    <t>Fremont</t>
  </si>
  <si>
    <t>Scottsdale</t>
  </si>
  <si>
    <t>Reno</t>
  </si>
  <si>
    <t>Winston-Salem</t>
  </si>
  <si>
    <t>Durham</t>
  </si>
  <si>
    <t>Orlando</t>
  </si>
  <si>
    <t>Greensboro</t>
  </si>
  <si>
    <t>Toledo</t>
  </si>
  <si>
    <t>Lexington</t>
  </si>
  <si>
    <t>Corpus Christi</t>
  </si>
  <si>
    <t>Riverside</t>
  </si>
  <si>
    <t>Aurora</t>
  </si>
  <si>
    <t>Anaheim</t>
  </si>
  <si>
    <t>Tampa</t>
  </si>
  <si>
    <t>Bakersfield</t>
  </si>
  <si>
    <t>Colorado Springs</t>
  </si>
  <si>
    <t>Virginia Beach</t>
  </si>
  <si>
    <t>Mesa</t>
  </si>
  <si>
    <t>Wichita</t>
  </si>
  <si>
    <t>Kansas</t>
  </si>
  <si>
    <t>Henderson</t>
  </si>
  <si>
    <t>Fort Wayne</t>
  </si>
  <si>
    <t>Lubbock</t>
  </si>
  <si>
    <t>Mississauga</t>
  </si>
  <si>
    <t>Cali</t>
  </si>
  <si>
    <t>Valle del Cauca Department</t>
  </si>
  <si>
    <t>Tempe</t>
  </si>
  <si>
    <t>Plano</t>
  </si>
  <si>
    <t>Amarillo</t>
  </si>
  <si>
    <t>Chiang Mai</t>
  </si>
  <si>
    <t>Rosario</t>
  </si>
  <si>
    <t>Santa Fe Province</t>
  </si>
  <si>
    <t>Cuenca</t>
  </si>
  <si>
    <t>Azuay Province</t>
  </si>
  <si>
    <t>Novi Sad</t>
  </si>
  <si>
    <t>Punta del Este</t>
  </si>
  <si>
    <t>Maldonado Department</t>
  </si>
  <si>
    <t>Newcastle</t>
  </si>
  <si>
    <t>New South Wales</t>
  </si>
  <si>
    <t>Chihuahua City</t>
  </si>
  <si>
    <t>Chihuahua</t>
  </si>
  <si>
    <t>Navi Mumbai</t>
  </si>
  <si>
    <t>Barranquilla</t>
  </si>
  <si>
    <t>Atlantico Department</t>
  </si>
  <si>
    <t>Jaipur</t>
  </si>
  <si>
    <t>Rajasthan</t>
  </si>
  <si>
    <t>Indore</t>
  </si>
  <si>
    <t>Madhya Pradesh</t>
  </si>
  <si>
    <t>Zug</t>
  </si>
  <si>
    <t>Canton of Zug</t>
  </si>
  <si>
    <t>Portsmouth</t>
  </si>
  <si>
    <t>Southampton</t>
  </si>
  <si>
    <t>Konya</t>
  </si>
  <si>
    <t>Konya Province</t>
  </si>
  <si>
    <t>Huntsville</t>
  </si>
  <si>
    <t>Alabama</t>
  </si>
  <si>
    <t>Mobile</t>
  </si>
  <si>
    <t>Debrecen</t>
  </si>
  <si>
    <t>Hajdu-Bihar County</t>
  </si>
  <si>
    <t>Christchurch</t>
  </si>
  <si>
    <t>Canterbury Region</t>
  </si>
  <si>
    <t>Patna</t>
  </si>
  <si>
    <t>Bihar</t>
  </si>
  <si>
    <t>Shreveport</t>
  </si>
  <si>
    <t>Bhopal</t>
  </si>
  <si>
    <t>Monterrey</t>
  </si>
  <si>
    <t>Nuevo Leon</t>
  </si>
  <si>
    <t>Olomouc</t>
  </si>
  <si>
    <t>Szeged</t>
  </si>
  <si>
    <t>Csongrad-Csanad County</t>
  </si>
  <si>
    <t>Giza</t>
  </si>
  <si>
    <t>Giza Governorate</t>
  </si>
  <si>
    <t>Santos</t>
  </si>
  <si>
    <t>Leicester</t>
  </si>
  <si>
    <t>Goiania</t>
  </si>
  <si>
    <t>Goias</t>
  </si>
  <si>
    <t>Sibiu</t>
  </si>
  <si>
    <t>Sibiu County</t>
  </si>
  <si>
    <t>Savannah</t>
  </si>
  <si>
    <t>Rawalpindi</t>
  </si>
  <si>
    <t>Oradea</t>
  </si>
  <si>
    <t>Cluj-Napoca</t>
  </si>
  <si>
    <t>Cluj County</t>
  </si>
  <si>
    <t>Leuven</t>
  </si>
  <si>
    <t>Mashhad</t>
  </si>
  <si>
    <t>Razavi Khorasan Province</t>
  </si>
  <si>
    <t>Dundee</t>
  </si>
  <si>
    <t>Tijuana</t>
  </si>
  <si>
    <t>Baja California</t>
  </si>
  <si>
    <t>Port Elizabeth</t>
  </si>
  <si>
    <t>Eastern Cape</t>
  </si>
  <si>
    <t>Tangier</t>
  </si>
  <si>
    <t>Tanger-Tetouan-Al Hoceima</t>
  </si>
  <si>
    <t>Antibes</t>
  </si>
  <si>
    <t>Mangalore</t>
  </si>
  <si>
    <t>Kingston upon Hull</t>
  </si>
  <si>
    <t>Nis</t>
  </si>
  <si>
    <t>Nisava District</t>
  </si>
  <si>
    <t>Galway</t>
  </si>
  <si>
    <t>Connacht</t>
  </si>
  <si>
    <t>Norwich</t>
  </si>
  <si>
    <t>Banja Luka</t>
  </si>
  <si>
    <t>Republika Srpska</t>
  </si>
  <si>
    <t>Sioux Falls</t>
  </si>
  <si>
    <t>South Dakota</t>
  </si>
  <si>
    <t>Brighton</t>
  </si>
  <si>
    <t>Natal</t>
  </si>
  <si>
    <t>Rio Grande do Norte</t>
  </si>
  <si>
    <t>New Hampshire</t>
  </si>
  <si>
    <t>Erbil</t>
  </si>
  <si>
    <t>Iraq</t>
  </si>
  <si>
    <t>Florianopolis</t>
  </si>
  <si>
    <t>Santa Catarina</t>
  </si>
  <si>
    <t>Dunedin</t>
  </si>
  <si>
    <t>Otago Region</t>
  </si>
  <si>
    <t>Hamilton</t>
  </si>
  <si>
    <t>Patras</t>
  </si>
  <si>
    <t>West Greece Region</t>
  </si>
  <si>
    <t>Limerick</t>
  </si>
  <si>
    <t>Exeter</t>
  </si>
  <si>
    <t>Kota Kinabalu</t>
  </si>
  <si>
    <t>Sabah</t>
  </si>
  <si>
    <t>Sherbrooke</t>
  </si>
  <si>
    <t>Gold Coast</t>
  </si>
  <si>
    <t>Laval</t>
  </si>
  <si>
    <t>Gatineau</t>
  </si>
  <si>
    <t>Allentown</t>
  </si>
  <si>
    <t>Zapopan</t>
  </si>
  <si>
    <t>Ivano-Frankivsk</t>
  </si>
  <si>
    <t>Ivano-Frankivsk Oblast</t>
  </si>
  <si>
    <t>Ternopil</t>
  </si>
  <si>
    <t>Ternopil Oblast</t>
  </si>
  <si>
    <t>Sumy</t>
  </si>
  <si>
    <t>Sumy Oblast</t>
  </si>
  <si>
    <t>Joinville</t>
  </si>
  <si>
    <t>Vinnytsia</t>
  </si>
  <si>
    <t>Vinnytsia Oblast</t>
  </si>
  <si>
    <t>Santa Cruz</t>
  </si>
  <si>
    <t>Santa Clara</t>
  </si>
  <si>
    <t>Santa Barbara</t>
  </si>
  <si>
    <t>Samsun</t>
  </si>
  <si>
    <t>Samsun Province</t>
  </si>
  <si>
    <t>Heraklion</t>
  </si>
  <si>
    <t>Reading</t>
  </si>
  <si>
    <t>Akron</t>
  </si>
  <si>
    <t>West Palm Beach</t>
  </si>
  <si>
    <t>Merida</t>
  </si>
  <si>
    <t>Yucatan</t>
  </si>
  <si>
    <t>Fort Lauderdale</t>
  </si>
  <si>
    <t>Billings</t>
  </si>
  <si>
    <t>Montana</t>
  </si>
  <si>
    <t>Kalamazoo</t>
  </si>
  <si>
    <t>Joao Pessoa</t>
  </si>
  <si>
    <t>Paraiba</t>
  </si>
  <si>
    <t>Thiruvananthapuram</t>
  </si>
  <si>
    <t>Craiova</t>
  </si>
  <si>
    <t>Dolj County</t>
  </si>
  <si>
    <t>Vitoria</t>
  </si>
  <si>
    <t>Espirito Santo</t>
  </si>
  <si>
    <t>Eskisehir</t>
  </si>
  <si>
    <t>Campo Grande</t>
  </si>
  <si>
    <t>Mato Grosso do Sul</t>
  </si>
  <si>
    <t>Bournemouth</t>
  </si>
  <si>
    <t>Agadir</t>
  </si>
  <si>
    <t>Souss-Massa</t>
  </si>
  <si>
    <t>Pattaya</t>
  </si>
  <si>
    <t>Chon Buri</t>
  </si>
  <si>
    <t>Eugene</t>
  </si>
  <si>
    <t>Campinas</t>
  </si>
  <si>
    <t>Bhubaneswar</t>
  </si>
  <si>
    <t>Odisha</t>
  </si>
  <si>
    <t>Larnaca</t>
  </si>
  <si>
    <t>Larnaca District</t>
  </si>
  <si>
    <t>Cyprus</t>
  </si>
  <si>
    <t>Peterborough</t>
  </si>
  <si>
    <t>Veliko Tarnovo</t>
  </si>
  <si>
    <t>Veliko Tarnovo Province</t>
  </si>
  <si>
    <t>Arad</t>
  </si>
  <si>
    <t>Arad County</t>
  </si>
  <si>
    <t>Faisalabad</t>
  </si>
  <si>
    <t>Wilmington</t>
  </si>
  <si>
    <t>Delaware</t>
  </si>
  <si>
    <t>Niteroi</t>
  </si>
  <si>
    <t>Paphos</t>
  </si>
  <si>
    <t>Paphos District</t>
  </si>
  <si>
    <t>Grand Rapids</t>
  </si>
  <si>
    <t>Ipswich</t>
  </si>
  <si>
    <t>Baia Mare</t>
  </si>
  <si>
    <t>MaramureÈ™ County</t>
  </si>
  <si>
    <t>Knoxville</t>
  </si>
  <si>
    <t>Limassol</t>
  </si>
  <si>
    <t>Limassol District</t>
  </si>
  <si>
    <t>Chattanooga</t>
  </si>
  <si>
    <t>Spokane</t>
  </si>
  <si>
    <t>Hermosillo</t>
  </si>
  <si>
    <t>Sonora</t>
  </si>
  <si>
    <t>Sao Jose dos Campos</t>
  </si>
  <si>
    <t>Northampton</t>
  </si>
  <si>
    <t>Boulder</t>
  </si>
  <si>
    <t>Ramat Gan</t>
  </si>
  <si>
    <t>Tel Aviv District</t>
  </si>
  <si>
    <t>Guwahati</t>
  </si>
  <si>
    <t>Assam</t>
  </si>
  <si>
    <t>Tacoma</t>
  </si>
  <si>
    <t>Visakhapatnam</t>
  </si>
  <si>
    <t>Andhra Pradesh</t>
  </si>
  <si>
    <t>Vijayawada</t>
  </si>
  <si>
    <t>Waikato Region</t>
  </si>
  <si>
    <t>Ludhiana</t>
  </si>
  <si>
    <t>Kitchener</t>
  </si>
  <si>
    <t>Aguascalientes City</t>
  </si>
  <si>
    <t>Aguascalientes</t>
  </si>
  <si>
    <t>Milton Keynes</t>
  </si>
  <si>
    <t>Corfu</t>
  </si>
  <si>
    <t>Thane</t>
  </si>
  <si>
    <t>Sunnyvale</t>
  </si>
  <si>
    <t>Oshawa</t>
  </si>
  <si>
    <t>Santa Rosa</t>
  </si>
  <si>
    <t>Guildford</t>
  </si>
  <si>
    <t>Bellevue</t>
  </si>
  <si>
    <t>Fayetteville</t>
  </si>
  <si>
    <t>Kuching</t>
  </si>
  <si>
    <t>Sarawak</t>
  </si>
  <si>
    <t>Redmond</t>
  </si>
  <si>
    <t>Johor Bahru</t>
  </si>
  <si>
    <t>Johor</t>
  </si>
  <si>
    <t>Kelowna</t>
  </si>
  <si>
    <t>Erie</t>
  </si>
  <si>
    <t>Al Ain</t>
  </si>
  <si>
    <t>Bucaramanga</t>
  </si>
  <si>
    <t>Santander Department</t>
  </si>
  <si>
    <t>Burnaby</t>
  </si>
  <si>
    <t>Clearwater</t>
  </si>
  <si>
    <t>Taichung</t>
  </si>
  <si>
    <t>Abbotsford</t>
  </si>
  <si>
    <t>Noida</t>
  </si>
  <si>
    <t>Sharjah</t>
  </si>
  <si>
    <t>Emirate of Sharjah</t>
  </si>
  <si>
    <t>Rockville</t>
  </si>
  <si>
    <t>Jeddah</t>
  </si>
  <si>
    <t>Surrey</t>
  </si>
  <si>
    <t>Everett</t>
  </si>
  <si>
    <t>Bellingham</t>
  </si>
  <si>
    <t>Moncton</t>
  </si>
  <si>
    <t>Kamloops</t>
  </si>
  <si>
    <t>Villach</t>
  </si>
  <si>
    <t>Carinthia</t>
  </si>
  <si>
    <t>Berkeley</t>
  </si>
  <si>
    <t>Ann Arbor</t>
  </si>
  <si>
    <t>Aveiro</t>
  </si>
  <si>
    <t>Pensacola</t>
  </si>
  <si>
    <t>Iowa City</t>
  </si>
  <si>
    <t>Gainesville</t>
  </si>
  <si>
    <t>Daytona Beach</t>
  </si>
  <si>
    <t>Fort Collins</t>
  </si>
  <si>
    <t>Canton</t>
  </si>
  <si>
    <t>Sarasota</t>
  </si>
  <si>
    <t>Redding</t>
  </si>
  <si>
    <t>Overland Park</t>
  </si>
  <si>
    <t>Guelph</t>
  </si>
  <si>
    <t>Fort Myers</t>
  </si>
  <si>
    <t>Ajman</t>
  </si>
  <si>
    <t>Emirate of Ajman</t>
  </si>
  <si>
    <t>Greenville</t>
  </si>
  <si>
    <t>Bloomington</t>
  </si>
  <si>
    <t>Fairfax</t>
  </si>
  <si>
    <t>Waterloo</t>
  </si>
  <si>
    <t>Coquitlam</t>
  </si>
  <si>
    <t>Asheville</t>
  </si>
  <si>
    <t>Bend</t>
  </si>
  <si>
    <t>Chapel Hill</t>
  </si>
  <si>
    <t>College Station</t>
  </si>
  <si>
    <t>Klaipeda</t>
  </si>
  <si>
    <t>Phuket</t>
  </si>
  <si>
    <t>Petaling Jaya</t>
  </si>
  <si>
    <t>Selangor</t>
  </si>
  <si>
    <t>Dumaguete</t>
  </si>
  <si>
    <t>New Westminster</t>
  </si>
  <si>
    <t>Langley</t>
  </si>
  <si>
    <t>Chilliwack</t>
  </si>
  <si>
    <t>Playa del Carmen</t>
  </si>
  <si>
    <t>North Vancouver</t>
  </si>
  <si>
    <t>Alpharetta</t>
  </si>
  <si>
    <t>Peshawar</t>
  </si>
  <si>
    <t>Khyber Pakhtunkhwa</t>
  </si>
  <si>
    <t>Newcastle upon Tyne</t>
  </si>
  <si>
    <t>Arlington</t>
  </si>
  <si>
    <t>Syracuse</t>
  </si>
  <si>
    <t>Long Island</t>
  </si>
  <si>
    <t>Braga</t>
  </si>
  <si>
    <t>Kocaeli</t>
  </si>
  <si>
    <t>Kocaeli Province</t>
  </si>
  <si>
    <t>Kaunas</t>
  </si>
  <si>
    <t>Las Palmas de Gran Canaria</t>
  </si>
  <si>
    <t>Canary Islands</t>
  </si>
  <si>
    <t>Santa Cruz de Tenerife</t>
  </si>
  <si>
    <t>Stavanger</t>
  </si>
  <si>
    <t>Rogaland</t>
  </si>
  <si>
    <t>Antwerp</t>
  </si>
  <si>
    <t>Zaragoza</t>
  </si>
  <si>
    <t>Aragon</t>
  </si>
  <si>
    <t>Jubail</t>
  </si>
  <si>
    <t>Eastern Province</t>
  </si>
  <si>
    <t>ID</t>
  </si>
  <si>
    <t>YEAR</t>
  </si>
  <si>
    <t>INTERNET_PRICE</t>
  </si>
  <si>
    <t>CITY</t>
  </si>
  <si>
    <t>REGION</t>
  </si>
  <si>
    <t>COUNTRY</t>
  </si>
  <si>
    <t>United States</t>
  </si>
  <si>
    <t>Dusseldorf</t>
  </si>
  <si>
    <t>BC</t>
  </si>
  <si>
    <t>Country</t>
  </si>
  <si>
    <t>City</t>
  </si>
  <si>
    <t>Year</t>
  </si>
  <si>
    <t>Select year</t>
  </si>
  <si>
    <t>Select country</t>
  </si>
  <si>
    <t xml:space="preserve">Average price </t>
  </si>
  <si>
    <t>Max Price</t>
  </si>
  <si>
    <t>Country with Max Price</t>
  </si>
  <si>
    <t xml:space="preserve">Country </t>
  </si>
  <si>
    <t>Lowest Price</t>
  </si>
  <si>
    <t>Country with Lowest Price</t>
  </si>
  <si>
    <t>Country with the highest average price in  different years</t>
  </si>
  <si>
    <t>City with the highest price in 2018</t>
  </si>
  <si>
    <t xml:space="preserve">Year </t>
  </si>
  <si>
    <t>Country with the lowest average price in in future</t>
  </si>
  <si>
    <t xml:space="preserve">		</t>
  </si>
  <si>
    <t>Average price for specific country for specific year (past and future)</t>
  </si>
  <si>
    <t>Timeline</t>
  </si>
  <si>
    <t>Values</t>
  </si>
  <si>
    <t>Forecast</t>
  </si>
  <si>
    <t>Lower Confidence Bound</t>
  </si>
  <si>
    <t>Upper Confidence Bound</t>
  </si>
  <si>
    <t>Location ID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</si>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</sst>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17" fillId="33" borderId="10" xfId="0" applyFont="1" applyFill="1" applyBorder="1" applyAlignment="1">
      <alignment horizontal="center"/>
    </xf>
    <xf numFmtId="0" fontId="17" fillId="33" borderId="10" xfId="0" applyFont="1" applyFill="1" applyBorder="1"/>
    <xf numFmtId="0" fontId="0" fillId="34" borderId="10" xfId="0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/>
    <xf numFmtId="2" fontId="0" fillId="0" borderId="0" xfId="0" applyNumberFormat="1" applyAlignment="1">
      <alignment horizontal="center"/>
    </xf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Forcasting</a:t>
            </a:r>
            <a:r>
              <a:rPr lang="en-US" baseline="0"/>
              <a:t> Canada average Internet price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CanadaForcast!$B$1</c:f>
              <c:strCache>
                <c:ptCount val="1"/>
                <c:pt idx="0">
                  <c:v>Values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CanadaForcast!$A$2:$A$17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CanadaForcast!$B$2:$B$17</c:f>
              <c:numCache>
                <c:formatCode>General</c:formatCode>
                <c:ptCount val="16"/>
                <c:pt idx="0">
                  <c:v>39.879807692307715</c:v>
                </c:pt>
                <c:pt idx="1">
                  <c:v>47.073596792668958</c:v>
                </c:pt>
                <c:pt idx="2">
                  <c:v>44.018984215045236</c:v>
                </c:pt>
                <c:pt idx="3">
                  <c:v>49.129793504461951</c:v>
                </c:pt>
                <c:pt idx="4">
                  <c:v>48.034403370785704</c:v>
                </c:pt>
                <c:pt idx="5">
                  <c:v>46.439813440689825</c:v>
                </c:pt>
                <c:pt idx="6">
                  <c:v>48.727634363832934</c:v>
                </c:pt>
                <c:pt idx="7">
                  <c:v>51.015455286976049</c:v>
                </c:pt>
                <c:pt idx="8">
                  <c:v>57.113330839947743</c:v>
                </c:pt>
                <c:pt idx="9">
                  <c:v>54.700390420566485</c:v>
                </c:pt>
                <c:pt idx="10">
                  <c:v>55.54052843329012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4-2846-A0A0-50EF68638EB9}"/>
            </c:ext>
          </c:extLst>
        </c:ser>
        <c:ser>
          <c:idx val="1"/>
          <c:order val="1"/>
          <c:tx>
            <c:strRef>
              <c:f>CanadaForcast!$C$1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CanadaForcast!$A$2:$A$17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CanadaForcast!$C$2:$C$17</c:f>
              <c:numCache>
                <c:formatCode>General</c:formatCode>
                <c:ptCount val="16"/>
                <c:pt idx="10">
                  <c:v>55.54052843329012</c:v>
                </c:pt>
                <c:pt idx="11">
                  <c:v>56.25719304182028</c:v>
                </c:pt>
                <c:pt idx="12">
                  <c:v>58.076631618714693</c:v>
                </c:pt>
                <c:pt idx="13">
                  <c:v>61.280634125351312</c:v>
                </c:pt>
                <c:pt idx="14">
                  <c:v>60.339564010384819</c:v>
                </c:pt>
                <c:pt idx="15">
                  <c:v>62.15900258727924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4-2846-A0A0-50EF68638EB9}"/>
            </c:ext>
          </c:extLst>
        </c:ser>
        <c:ser>
          <c:idx val="2"/>
          <c:order val="2"/>
          <c:tx>
            <c:strRef>
              <c:f>CanadaForcast!$D$1</c:f>
              <c:strCache>
                <c:ptCount val="1"/>
                <c:pt idx="0">
                  <c:v>Lower Confidence Bound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CanadaForcast!$A$2:$A$17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CanadaForcast!$D$2:$D$17</c:f>
              <c:numCache>
                <c:formatCode>General</c:formatCode>
                <c:ptCount val="16"/>
                <c:pt idx="10" formatCode="0.00">
                  <c:v>55.54052843329012</c:v>
                </c:pt>
                <c:pt idx="11" formatCode="0.00">
                  <c:v>50.974759264039577</c:v>
                </c:pt>
                <c:pt idx="12" formatCode="0.00">
                  <c:v>52.629051513454975</c:v>
                </c:pt>
                <c:pt idx="13" formatCode="0.00">
                  <c:v>55.671512717889541</c:v>
                </c:pt>
                <c:pt idx="14" formatCode="0.00">
                  <c:v>54.570967344262911</c:v>
                </c:pt>
                <c:pt idx="15" formatCode="0.00">
                  <c:v>56.235222372826669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4-2846-A0A0-50EF68638EB9}"/>
            </c:ext>
          </c:extLst>
        </c:ser>
        <c:ser>
          <c:idx val="3"/>
          <c:order val="3"/>
          <c:tx>
            <c:strRef>
              <c:f>CanadaForcast!$E$1</c:f>
              <c:strCache>
                <c:ptCount val="1"/>
                <c:pt idx="0">
                  <c:v>Upper Confidence Bound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CanadaForcast!$A$2:$A$17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CanadaForcast!$E$2:$E$17</c:f>
              <c:numCache>
                <c:formatCode>General</c:formatCode>
                <c:ptCount val="16"/>
                <c:pt idx="10" formatCode="0.00">
                  <c:v>55.54052843329012</c:v>
                </c:pt>
                <c:pt idx="11" formatCode="0.00">
                  <c:v>61.539626819600983</c:v>
                </c:pt>
                <c:pt idx="12" formatCode="0.00">
                  <c:v>63.52421172397441</c:v>
                </c:pt>
                <c:pt idx="13" formatCode="0.00">
                  <c:v>66.889755532813084</c:v>
                </c:pt>
                <c:pt idx="14" formatCode="0.00">
                  <c:v>66.108160676506728</c:v>
                </c:pt>
                <c:pt idx="15" formatCode="0.00">
                  <c:v>68.08278280173181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4-2846-A0A0-50EF68638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990272"/>
        <c:axId val="1297991920"/>
      </c:lineChart>
      <c:catAx>
        <c:axId val="1297990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991920"/>
        <c:crosses val="autoZero"/>
        <c:auto val="1"/>
        <c:lblAlgn val="ctr"/>
        <c:lblOffset val="100"/>
        <c:noMultiLvlLbl val="0"/>
      </c:catAx>
      <c:valAx>
        <c:axId val="129799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Internet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99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5</xdr:row>
      <xdr:rowOff>95250</xdr:rowOff>
    </xdr:from>
    <xdr:to>
      <xdr:col>13</xdr:col>
      <xdr:colOff>127000</xdr:colOff>
      <xdr:row>23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3</xdr:col>
          <xdr:colOff>609600</xdr:colOff>
          <xdr:row>2</xdr:row>
          <xdr:rowOff>101600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EAC932-813A-8046-AD4C-C40378D1DE29}" name="Table372" displayName="Table372" ref="A1:F3893" totalsRowShown="0" headerRowDxfId="14" dataDxfId="13">
  <autoFilter ref="A1:F3893" xr:uid="{F59C2612-D097-47C7-8CB7-328FE8A518E1}"/>
  <sortState xmlns:xlrd2="http://schemas.microsoft.com/office/spreadsheetml/2017/richdata2" ref="A2:F3893">
    <sortCondition ref="D1:D3893"/>
  </sortState>
  <tableColumns count="6">
    <tableColumn id="1" xr3:uid="{309F56FD-18DC-BD4D-9ADC-853D35456EB4}" name="ID" dataDxfId="12"/>
    <tableColumn id="2" xr3:uid="{FD20DD8E-85B3-D34B-BA1E-4F16180B45A0}" name="YEAR" dataDxfId="11"/>
    <tableColumn id="3" xr3:uid="{047143C3-EAAD-114C-B748-7E8EA3480C36}" name="INTERNET_PRICE" dataDxfId="10"/>
    <tableColumn id="4" xr3:uid="{D83D81EC-90ED-6F48-BEA1-6CB05A5623D9}" name="CITY" dataDxfId="9"/>
    <tableColumn id="5" xr3:uid="{555C3319-04B3-4644-BFBD-954FB4963403}" name="REGION" dataDxfId="8"/>
    <tableColumn id="6" xr3:uid="{13E3BBAA-AF91-6D40-915B-E4CDC0D21D5D}" name="COUNTRY" dataDxfId="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6EEAB7-32C2-F44A-961D-5698EFA37F34}" name="Table5" displayName="Table5" ref="A1:E17" totalsRowShown="0" headerRowDxfId="6" dataDxfId="5">
  <autoFilter ref="A1:E17" xr:uid="{D36EEAB7-32C2-F44A-961D-5698EFA37F34}"/>
  <tableColumns count="5">
    <tableColumn id="1" xr3:uid="{42CA6FEB-B478-7C4B-A274-C84B6E948F3C}" name="Timeline" dataDxfId="4"/>
    <tableColumn id="2" xr3:uid="{16DC82DE-5C3D-6046-B9BB-05AB0A691B4B}" name="Values" dataDxfId="3"/>
    <tableColumn id="3" xr3:uid="{90DCF075-21DC-144A-9795-F6D4A5C2178B}" name="Forecast" dataDxfId="2">
      <calculatedColumnFormula>_xlfn.FORECAST.ETS(A2,$B$2:$B$12,$A$2:$A$12,3,1)</calculatedColumnFormula>
    </tableColumn>
    <tableColumn id="4" xr3:uid="{E96213E3-7C4E-DA44-9BAE-80124BF65374}" name="Lower Confidence Bound" dataDxfId="1">
      <calculatedColumnFormula>C2-_xlfn.FORECAST.ETS.CONFINT(A2,$B$2:$B$12,$A$2:$A$12,0.95,3,1)</calculatedColumnFormula>
    </tableColumn>
    <tableColumn id="5" xr3:uid="{B00CBC47-F5EC-5842-A206-004D34AB4204}" name="Upper Confidence Bound" dataDxfId="0">
      <calculatedColumnFormula>C2+_xlfn.FORECAST.ETS.CONFINT(A2,$B$2:$B$12,$A$2:$A$12,0.95,3,1)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3ECDC2-98AF-3344-BBBE-C338A1E78420}" name="ForecastTable" displayName="ForecastTable" ref="A9:E30" totalsRowShown="0">
  <autoFilter ref="A9:E30" xr:uid="{553ECDC2-98AF-3344-BBBE-C338A1E78420}">
    <filterColumn colId="0">
      <customFilters>
        <customFilter operator="notEqual" val=" "/>
      </customFilters>
    </filterColumn>
  </autoFilter>
  <tableColumns count="5">
    <tableColumn id="1" xr3:uid="{35EC9980-74F9-8742-9D4E-D7DF5E48829D}" name="Year"/>
    <tableColumn id="2" xr3:uid="{503939F1-22E2-E640-835D-C1D61E466F21}" name="Actual"/>
    <tableColumn id="3" xr3:uid="{4E4B816F-3BA4-0D4E-8AC1-25FE1898EE54}" name="Forecast"/>
    <tableColumn id="4" xr3:uid="{49C29F9F-ACD8-8F49-B1DF-D75862844026}" name="Lower Confidence Bound"/>
    <tableColumn id="5" xr3:uid="{02B889D0-5A63-FF42-A2DB-A0EA73E33E7B}" name="Upper Confidence Bound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2079-F5D9-6245-930A-9CAC8D90A601}">
  <sheetPr codeName="Sheet21"/>
  <dimension ref="A1:EE3893"/>
  <sheetViews>
    <sheetView topLeftCell="A3855" workbookViewId="0">
      <selection activeCell="M36" sqref="M36"/>
    </sheetView>
  </sheetViews>
  <sheetFormatPr baseColWidth="10" defaultColWidth="8.83203125" defaultRowHeight="15" x14ac:dyDescent="0.2"/>
  <cols>
    <col min="1" max="5" width="15.33203125" style="1" customWidth="1"/>
    <col min="6" max="6" width="17.83203125" style="1" customWidth="1"/>
    <col min="8" max="8" width="15" customWidth="1"/>
    <col min="9" max="9" width="14.1640625" customWidth="1"/>
    <col min="10" max="10" width="10" customWidth="1"/>
    <col min="12" max="12" width="9.6640625" customWidth="1"/>
    <col min="134" max="134" width="10.83203125" customWidth="1"/>
  </cols>
  <sheetData>
    <row r="1" spans="1:135" x14ac:dyDescent="0.2">
      <c r="A1" s="1" t="s">
        <v>1120</v>
      </c>
      <c r="B1" s="1" t="s">
        <v>1121</v>
      </c>
      <c r="C1" s="1" t="s">
        <v>1122</v>
      </c>
      <c r="D1" s="1" t="s">
        <v>1123</v>
      </c>
      <c r="E1" s="1" t="s">
        <v>1124</v>
      </c>
      <c r="F1" s="1" t="s">
        <v>1125</v>
      </c>
      <c r="I1" s="4" t="s">
        <v>1131</v>
      </c>
      <c r="J1" s="5" t="str" cm="1">
        <f t="array" ref="J1:DW1">TRANSPOSE(_xlfn._xlws.SORT(_xlfn.UNIQUE(Table372[COUNTRY])))</f>
        <v>Albania</v>
      </c>
      <c r="K1" s="5" t="str">
        <v>Algeria</v>
      </c>
      <c r="L1" s="5" t="str">
        <v>Argentina</v>
      </c>
      <c r="M1" s="5" t="str">
        <v>Armenia</v>
      </c>
      <c r="N1" s="5" t="str">
        <v>Australia</v>
      </c>
      <c r="O1" s="5" t="str">
        <v>Austria</v>
      </c>
      <c r="P1" s="5" t="str">
        <v>Azerbaijan</v>
      </c>
      <c r="Q1" s="5" t="str">
        <v>Bahrain</v>
      </c>
      <c r="R1" s="5" t="str">
        <v>Bangladesh</v>
      </c>
      <c r="S1" s="5" t="str">
        <v>Belarus</v>
      </c>
      <c r="T1" s="5" t="str">
        <v>Belgium</v>
      </c>
      <c r="U1" s="5" t="str">
        <v>Bolivia</v>
      </c>
      <c r="V1" s="5" t="str">
        <v>Bosnia and Herzegovina</v>
      </c>
      <c r="W1" s="5" t="str">
        <v>Botswana</v>
      </c>
      <c r="X1" s="5" t="str">
        <v>Brazil</v>
      </c>
      <c r="Y1" s="5" t="str">
        <v>Brunei</v>
      </c>
      <c r="Z1" s="5" t="str">
        <v>Bulgaria</v>
      </c>
      <c r="AA1" s="5" t="str">
        <v>Cambodia</v>
      </c>
      <c r="AB1" s="5" t="str">
        <v>Canada</v>
      </c>
      <c r="AC1" s="5" t="str">
        <v>Chile</v>
      </c>
      <c r="AD1" s="5" t="str">
        <v>Colombia</v>
      </c>
      <c r="AE1" s="5" t="str">
        <v>Costa Rica</v>
      </c>
      <c r="AF1" s="5" t="str">
        <v>Croatia</v>
      </c>
      <c r="AG1" s="5" t="str">
        <v>Cyprus</v>
      </c>
      <c r="AH1" s="5" t="str">
        <v>Czech Republic</v>
      </c>
      <c r="AI1" s="5" t="str">
        <v>Dominican Republic</v>
      </c>
      <c r="AJ1" s="5" t="str">
        <v>Ecuador</v>
      </c>
      <c r="AK1" s="5" t="str">
        <v>Egypt</v>
      </c>
      <c r="AL1" s="5" t="str">
        <v>El Salvador</v>
      </c>
      <c r="AM1" s="5" t="str">
        <v>Estonia</v>
      </c>
      <c r="AN1" s="5" t="str">
        <v>Fiji</v>
      </c>
      <c r="AO1" s="5" t="str">
        <v>Finland</v>
      </c>
      <c r="AP1" s="5" t="str">
        <v>France</v>
      </c>
      <c r="AQ1" s="5" t="str">
        <v>Georgia</v>
      </c>
      <c r="AR1" s="5" t="str">
        <v>Germany</v>
      </c>
      <c r="AS1" s="5" t="str">
        <v>Ghana</v>
      </c>
      <c r="AT1" s="5" t="str">
        <v>Greece</v>
      </c>
      <c r="AU1" s="5" t="str">
        <v>Guatemala</v>
      </c>
      <c r="AV1" s="5" t="str">
        <v>Honduras</v>
      </c>
      <c r="AW1" s="5" t="str">
        <v>Hungary</v>
      </c>
      <c r="AX1" s="5" t="str">
        <v>Iceland</v>
      </c>
      <c r="AY1" s="5" t="str">
        <v>India</v>
      </c>
      <c r="AZ1" s="5" t="str">
        <v>Indonesia</v>
      </c>
      <c r="BA1" s="5" t="str">
        <v>Iran</v>
      </c>
      <c r="BB1" s="5" t="str">
        <v>Iraq</v>
      </c>
      <c r="BC1" s="5" t="str">
        <v>Ireland</v>
      </c>
      <c r="BD1" s="5" t="str">
        <v>Israel</v>
      </c>
      <c r="BE1" s="5" t="str">
        <v>Italy</v>
      </c>
      <c r="BF1" s="5" t="str">
        <v>Jamaica</v>
      </c>
      <c r="BG1" s="5" t="str">
        <v>Japan</v>
      </c>
      <c r="BH1" s="5" t="str">
        <v>Jordan</v>
      </c>
      <c r="BI1" s="5" t="str">
        <v>Kazakhstan</v>
      </c>
      <c r="BJ1" s="5" t="str">
        <v>Kenya</v>
      </c>
      <c r="BK1" s="5" t="str">
        <v>Kuwait</v>
      </c>
      <c r="BL1" s="5" t="str">
        <v>Kyrgyzstan</v>
      </c>
      <c r="BM1" s="5" t="str">
        <v>Latvia</v>
      </c>
      <c r="BN1" s="5" t="str">
        <v>Lebanon</v>
      </c>
      <c r="BO1" s="5" t="str">
        <v>Libya</v>
      </c>
      <c r="BP1" s="5" t="str">
        <v>Lithuania</v>
      </c>
      <c r="BQ1" s="5" t="str">
        <v>Luxembourg</v>
      </c>
      <c r="BR1" s="5" t="str">
        <v>Malaysia</v>
      </c>
      <c r="BS1" s="5" t="str">
        <v>Maldives</v>
      </c>
      <c r="BT1" s="5" t="str">
        <v>Malta</v>
      </c>
      <c r="BU1" s="5" t="str">
        <v>Mauritius</v>
      </c>
      <c r="BV1" s="5" t="str">
        <v>Mexico</v>
      </c>
      <c r="BW1" s="5" t="str">
        <v>Mongolia</v>
      </c>
      <c r="BX1" s="5" t="str">
        <v>Montenegro</v>
      </c>
      <c r="BY1" s="5" t="str">
        <v>Morocco</v>
      </c>
      <c r="BZ1" s="5" t="str">
        <v>Mozambique</v>
      </c>
      <c r="CA1" s="5" t="str">
        <v>Namibia</v>
      </c>
      <c r="CB1" s="5" t="str">
        <v>Nepal</v>
      </c>
      <c r="CC1" s="5" t="str">
        <v>New Zealand</v>
      </c>
      <c r="CD1" s="5" t="str">
        <v>Nicaragua</v>
      </c>
      <c r="CE1" s="5" t="str">
        <v>Nigeria</v>
      </c>
      <c r="CF1" s="5" t="str">
        <v>North Macedonia</v>
      </c>
      <c r="CG1" s="5" t="str">
        <v>Norway</v>
      </c>
      <c r="CH1" s="5" t="str">
        <v>Oman</v>
      </c>
      <c r="CI1" s="5" t="str">
        <v>Pakistan</v>
      </c>
      <c r="CJ1" s="5" t="str">
        <v>Panama</v>
      </c>
      <c r="CK1" s="5" t="str">
        <v>Paraguay</v>
      </c>
      <c r="CL1" s="5" t="str">
        <v>People's Republic of China</v>
      </c>
      <c r="CM1" s="5" t="str">
        <v>Peru</v>
      </c>
      <c r="CN1" s="5" t="str">
        <v>Philippines</v>
      </c>
      <c r="CO1" s="5" t="str">
        <v>Poland</v>
      </c>
      <c r="CP1" s="5" t="str">
        <v>Portugal</v>
      </c>
      <c r="CQ1" s="5" t="str">
        <v>Qatar</v>
      </c>
      <c r="CR1" s="5" t="str">
        <v>Romania</v>
      </c>
      <c r="CS1" s="5" t="str">
        <v>Russia</v>
      </c>
      <c r="CT1" s="5" t="str">
        <v>Saudi Arabia</v>
      </c>
      <c r="CU1" s="5" t="str">
        <v>Serbia</v>
      </c>
      <c r="CV1" s="5" t="str">
        <v>Singapore</v>
      </c>
      <c r="CW1" s="5" t="str">
        <v>Slovakia</v>
      </c>
      <c r="CX1" s="5" t="str">
        <v>Slovenia</v>
      </c>
      <c r="CY1" s="5" t="str">
        <v>South Africa</v>
      </c>
      <c r="CZ1" s="5" t="str">
        <v>South Korea</v>
      </c>
      <c r="DA1" s="5" t="str">
        <v>Spain</v>
      </c>
      <c r="DB1" s="5" t="str">
        <v>Sri Lanka</v>
      </c>
      <c r="DC1" s="5" t="str">
        <v>Sudan</v>
      </c>
      <c r="DD1" s="5" t="str">
        <v>Suriname</v>
      </c>
      <c r="DE1" s="5" t="str">
        <v>Sweden</v>
      </c>
      <c r="DF1" s="5" t="str">
        <v>Switzerland</v>
      </c>
      <c r="DG1" s="5" t="str">
        <v>Taiwan</v>
      </c>
      <c r="DH1" s="5" t="str">
        <v>Tanzania</v>
      </c>
      <c r="DI1" s="5" t="str">
        <v>Thailand</v>
      </c>
      <c r="DJ1" s="5" t="str">
        <v>The Bahamas</v>
      </c>
      <c r="DK1" s="5" t="str">
        <v>Trinidad and Tobago</v>
      </c>
      <c r="DL1" s="5" t="str">
        <v>Tunisia</v>
      </c>
      <c r="DM1" s="5" t="str">
        <v>Turkey</v>
      </c>
      <c r="DN1" s="5" t="str">
        <v>Uganda</v>
      </c>
      <c r="DO1" s="5" t="str">
        <v>Ukraine</v>
      </c>
      <c r="DP1" s="5" t="str">
        <v>United Arab Emirates</v>
      </c>
      <c r="DQ1" s="5" t="str">
        <v>United Kingdom</v>
      </c>
      <c r="DR1" s="5" t="str">
        <v>United States</v>
      </c>
      <c r="DS1" s="5" t="str">
        <v>Uruguay</v>
      </c>
      <c r="DT1" s="5" t="str">
        <v>Uzbekistan</v>
      </c>
      <c r="DU1" s="5" t="str">
        <v>Venezuela</v>
      </c>
      <c r="DV1" s="5" t="str">
        <v>Vietnam</v>
      </c>
      <c r="DW1" s="5" t="str">
        <v>Zimbabwe</v>
      </c>
      <c r="DX1" s="5"/>
      <c r="DZ1" t="s">
        <v>1135</v>
      </c>
      <c r="EA1" t="s">
        <v>1136</v>
      </c>
      <c r="ED1" t="s">
        <v>1138</v>
      </c>
      <c r="EE1" t="s">
        <v>1139</v>
      </c>
    </row>
    <row r="2" spans="1:135" x14ac:dyDescent="0.2">
      <c r="A2">
        <v>27993271</v>
      </c>
      <c r="B2">
        <v>2020</v>
      </c>
      <c r="C2">
        <v>30.3393329132217</v>
      </c>
      <c r="D2" t="s">
        <v>130</v>
      </c>
      <c r="E2" t="s">
        <v>55</v>
      </c>
      <c r="F2" t="s">
        <v>7</v>
      </c>
      <c r="I2" s="2" cm="1">
        <f t="array" ref="I2:I12">_xlfn._xlws.SORT(_xlfn.UNIQUE(Table372[YEAR]))</f>
        <v>2010</v>
      </c>
      <c r="J2" s="3" t="str" cm="1">
        <f t="array" ref="J2">IFERROR(AVERAGE(_xlfn._xlws.FILTER($C:$C,($F:$F=J$1)*($B:$B=$I2))),"")</f>
        <v/>
      </c>
      <c r="K2" s="3" t="str" cm="1">
        <f t="array" ref="K2">IFERROR(AVERAGE(_xlfn._xlws.FILTER($C:$C,($F:$F=K$1)*($B:$B=$I2))),"")</f>
        <v/>
      </c>
      <c r="L2" s="3" cm="1">
        <f t="array" ref="L2">IFERROR(AVERAGE(_xlfn._xlws.FILTER($C:$C,($F:$F=L$1)*($B:$B=$I2))),"")</f>
        <v>34.594819999999999</v>
      </c>
      <c r="M2" s="3" t="str" cm="1">
        <f t="array" ref="M2">IFERROR(AVERAGE(_xlfn._xlws.FILTER($C:$C,($F:$F=M$1)*($B:$B=$I2))),"")</f>
        <v/>
      </c>
      <c r="N2" s="3" cm="1">
        <f t="array" ref="N2">IFERROR(AVERAGE(_xlfn._xlws.FILTER($C:$C,($F:$F=N$1)*($B:$B=$I2))),"")</f>
        <v>43.328389830508456</v>
      </c>
      <c r="O2" s="3" cm="1">
        <f t="array" ref="O2">IFERROR(AVERAGE(_xlfn._xlws.FILTER($C:$C,($F:$F=O$1)*($B:$B=$I2))),"")</f>
        <v>43.209876543209901</v>
      </c>
      <c r="P2" s="3" t="str" cm="1">
        <f t="array" ref="P2">IFERROR(AVERAGE(_xlfn._xlws.FILTER($C:$C,($F:$F=P$1)*($B:$B=$I2))),"")</f>
        <v/>
      </c>
      <c r="Q2" s="3" t="str" cm="1">
        <f t="array" ref="Q2">IFERROR(AVERAGE(_xlfn._xlws.FILTER($C:$C,($F:$F=Q$1)*($B:$B=$I2))),"")</f>
        <v/>
      </c>
      <c r="R2" s="3" t="str" cm="1">
        <f t="array" ref="R2">IFERROR(AVERAGE(_xlfn._xlws.FILTER($C:$C,($F:$F=R$1)*($B:$B=$I2))),"")</f>
        <v/>
      </c>
      <c r="S2" s="3" t="str" cm="1">
        <f t="array" ref="S2">IFERROR(AVERAGE(_xlfn._xlws.FILTER($C:$C,($F:$F=S$1)*($B:$B=$I2))),"")</f>
        <v/>
      </c>
      <c r="T2" s="3" t="str" cm="1">
        <f t="array" ref="T2">IFERROR(AVERAGE(_xlfn._xlws.FILTER($C:$C,($F:$F=T$1)*($B:$B=$I2))),"")</f>
        <v/>
      </c>
      <c r="U2" s="3" t="str" cm="1">
        <f t="array" ref="U2">IFERROR(AVERAGE(_xlfn._xlws.FILTER($C:$C,($F:$F=U$1)*($B:$B=$I2))),"")</f>
        <v/>
      </c>
      <c r="V2" s="3" cm="1">
        <f t="array" ref="V2">IFERROR(AVERAGE(_xlfn._xlws.FILTER($C:$C,($F:$F=V$1)*($B:$B=$I2))),"")</f>
        <v>21.3991769547325</v>
      </c>
      <c r="W2" s="3" t="str" cm="1">
        <f t="array" ref="W2">IFERROR(AVERAGE(_xlfn._xlws.FILTER($C:$C,($F:$F=W$1)*($B:$B=$I2))),"")</f>
        <v/>
      </c>
      <c r="X2" s="3" cm="1">
        <f t="array" ref="X2">IFERROR(AVERAGE(_xlfn._xlws.FILTER($C:$C,($F:$F=X$1)*($B:$B=$I2))),"")</f>
        <v>34.34065934065935</v>
      </c>
      <c r="Y2" s="3" t="str" cm="1">
        <f t="array" ref="Y2">IFERROR(AVERAGE(_xlfn._xlws.FILTER($C:$C,($F:$F=Y$1)*($B:$B=$I2))),"")</f>
        <v/>
      </c>
      <c r="Z2" s="3" cm="1">
        <f t="array" ref="Z2">IFERROR(AVERAGE(_xlfn._xlws.FILTER($C:$C,($F:$F=Z$1)*($B:$B=$I2))),"")</f>
        <v>11.320754716981099</v>
      </c>
      <c r="AA2" s="3" t="str" cm="1">
        <f t="array" ref="AA2">IFERROR(AVERAGE(_xlfn._xlws.FILTER($C:$C,($F:$F=AA$1)*($B:$B=$I2))),"")</f>
        <v/>
      </c>
      <c r="AB2" s="3" cm="1">
        <f t="array" ref="AB2">IFERROR(AVERAGE(_xlfn._xlws.FILTER($C:$C,($F:$F=AB$1)*($B:$B=$I2))),"")</f>
        <v>39.879807692307708</v>
      </c>
      <c r="AC2" s="3" cm="1">
        <f t="array" ref="AC2">IFERROR(AVERAGE(_xlfn._xlws.FILTER($C:$C,($F:$F=AC$1)*($B:$B=$I2))),"")</f>
        <v>53.7592</v>
      </c>
      <c r="AD2" s="3" t="str" cm="1">
        <f t="array" ref="AD2">IFERROR(AVERAGE(_xlfn._xlws.FILTER($C:$C,($F:$F=AD$1)*($B:$B=$I2))),"")</f>
        <v/>
      </c>
      <c r="AE2" s="3" t="str" cm="1">
        <f t="array" ref="AE2">IFERROR(AVERAGE(_xlfn._xlws.FILTER($C:$C,($F:$F=AE$1)*($B:$B=$I2))),"")</f>
        <v/>
      </c>
      <c r="AF2" s="3" cm="1">
        <f t="array" ref="AF2">IFERROR(AVERAGE(_xlfn._xlws.FILTER($C:$C,($F:$F=AF$1)*($B:$B=$I2))),"")</f>
        <v>24.6913580246914</v>
      </c>
      <c r="AG2" s="3" t="str" cm="1">
        <f t="array" ref="AG2">IFERROR(AVERAGE(_xlfn._xlws.FILTER($C:$C,($F:$F=AG$1)*($B:$B=$I2))),"")</f>
        <v/>
      </c>
      <c r="AH2" s="3" t="str" cm="1">
        <f t="array" ref="AH2">IFERROR(AVERAGE(_xlfn._xlws.FILTER($C:$C,($F:$F=AH$1)*($B:$B=$I2))),"")</f>
        <v/>
      </c>
      <c r="AI2" s="3" t="str" cm="1">
        <f t="array" ref="AI2">IFERROR(AVERAGE(_xlfn._xlws.FILTER($C:$C,($F:$F=AI$1)*($B:$B=$I2))),"")</f>
        <v/>
      </c>
      <c r="AJ2" s="3" t="str" cm="1">
        <f t="array" ref="AJ2">IFERROR(AVERAGE(_xlfn._xlws.FILTER($C:$C,($F:$F=AJ$1)*($B:$B=$I2))),"")</f>
        <v/>
      </c>
      <c r="AK2" s="3" cm="1">
        <f t="array" ref="AK2">IFERROR(AVERAGE(_xlfn._xlws.FILTER($C:$C,($F:$F=AK$1)*($B:$B=$I2))),"")</f>
        <v>47</v>
      </c>
      <c r="AL2" s="3" t="str" cm="1">
        <f t="array" ref="AL2">IFERROR(AVERAGE(_xlfn._xlws.FILTER($C:$C,($F:$F=AL$1)*($B:$B=$I2))),"")</f>
        <v/>
      </c>
      <c r="AM2" s="3" cm="1">
        <f t="array" ref="AM2">IFERROR(AVERAGE(_xlfn._xlws.FILTER($C:$C,($F:$F=AM$1)*($B:$B=$I2))),"")</f>
        <v>17.753235704739598</v>
      </c>
      <c r="AN2" s="3" t="str" cm="1">
        <f t="array" ref="AN2">IFERROR(AVERAGE(_xlfn._xlws.FILTER($C:$C,($F:$F=AN$1)*($B:$B=$I2))),"")</f>
        <v/>
      </c>
      <c r="AO2" s="3" cm="1">
        <f t="array" ref="AO2">IFERROR(AVERAGE(_xlfn._xlws.FILTER($C:$C,($F:$F=AO$1)*($B:$B=$I2))),"")</f>
        <v>29.506172839506199</v>
      </c>
      <c r="AP2" s="3" cm="1">
        <f t="array" ref="AP2">IFERROR(AVERAGE(_xlfn._xlws.FILTER($C:$C,($F:$F=AP$1)*($B:$B=$I2))),"")</f>
        <v>37.037037037037003</v>
      </c>
      <c r="AQ2" s="3" t="str" cm="1">
        <f t="array" ref="AQ2">IFERROR(AVERAGE(_xlfn._xlws.FILTER($C:$C,($F:$F=AQ$1)*($B:$B=$I2))),"")</f>
        <v/>
      </c>
      <c r="AR2" s="3" cm="1">
        <f t="array" ref="AR2">IFERROR(AVERAGE(_xlfn._xlws.FILTER($C:$C,($F:$F=AR$1)*($B:$B=$I2))),"")</f>
        <v>33.33333333333335</v>
      </c>
      <c r="AS2" s="3" t="str" cm="1">
        <f t="array" ref="AS2">IFERROR(AVERAGE(_xlfn._xlws.FILTER($C:$C,($F:$F=AS$1)*($B:$B=$I2))),"")</f>
        <v/>
      </c>
      <c r="AT2" s="3" cm="1">
        <f t="array" ref="AT2">IFERROR(AVERAGE(_xlfn._xlws.FILTER($C:$C,($F:$F=AT$1)*($B:$B=$I2))),"")</f>
        <v>22.839506172839499</v>
      </c>
      <c r="AU2" s="3" t="str" cm="1">
        <f t="array" ref="AU2">IFERROR(AVERAGE(_xlfn._xlws.FILTER($C:$C,($F:$F=AU$1)*($B:$B=$I2))),"")</f>
        <v/>
      </c>
      <c r="AV2" s="3" t="str" cm="1">
        <f t="array" ref="AV2">IFERROR(AVERAGE(_xlfn._xlws.FILTER($C:$C,($F:$F=AV$1)*($B:$B=$I2))),"")</f>
        <v/>
      </c>
      <c r="AW2" s="3" cm="1">
        <f t="array" ref="AW2">IFERROR(AVERAGE(_xlfn._xlws.FILTER($C:$C,($F:$F=AW$1)*($B:$B=$I2))),"")</f>
        <v>29.134659810716101</v>
      </c>
      <c r="AX2" s="3" t="str" cm="1">
        <f t="array" ref="AX2">IFERROR(AVERAGE(_xlfn._xlws.FILTER($C:$C,($F:$F=AX$1)*($B:$B=$I2))),"")</f>
        <v/>
      </c>
      <c r="AY2" s="3" cm="1">
        <f t="array" ref="AY2">IFERROR(AVERAGE(_xlfn._xlws.FILTER($C:$C,($F:$F=AY$1)*($B:$B=$I2))),"")</f>
        <v>21.659328906282102</v>
      </c>
      <c r="AZ2" s="3" cm="1">
        <f t="array" ref="AZ2">IFERROR(AVERAGE(_xlfn._xlws.FILTER($C:$C,($F:$F=AZ$1)*($B:$B=$I2))),"")</f>
        <v>24.555735056542801</v>
      </c>
      <c r="BA2" s="3" cm="1">
        <f t="array" ref="BA2">IFERROR(AVERAGE(_xlfn._xlws.FILTER($C:$C,($F:$F=BA$1)*($B:$B=$I2))),"")</f>
        <v>23</v>
      </c>
      <c r="BB2" s="3" t="str" cm="1">
        <f t="array" ref="BB2">IFERROR(AVERAGE(_xlfn._xlws.FILTER($C:$C,($F:$F=BB$1)*($B:$B=$I2))),"")</f>
        <v/>
      </c>
      <c r="BC2" s="3" cm="1">
        <f t="array" ref="BC2">IFERROR(AVERAGE(_xlfn._xlws.FILTER($C:$C,($F:$F=BC$1)*($B:$B=$I2))),"")</f>
        <v>33.950617283950599</v>
      </c>
      <c r="BD2" s="3" t="str" cm="1">
        <f t="array" ref="BD2">IFERROR(AVERAGE(_xlfn._xlws.FILTER($C:$C,($F:$F=BD$1)*($B:$B=$I2))),"")</f>
        <v/>
      </c>
      <c r="BE2" s="3" t="str" cm="1">
        <f t="array" ref="BE2">IFERROR(AVERAGE(_xlfn._xlws.FILTER($C:$C,($F:$F=BE$1)*($B:$B=$I2))),"")</f>
        <v/>
      </c>
      <c r="BF2" s="3" t="str" cm="1">
        <f t="array" ref="BF2">IFERROR(AVERAGE(_xlfn._xlws.FILTER($C:$C,($F:$F=BF$1)*($B:$B=$I2))),"")</f>
        <v/>
      </c>
      <c r="BG2" s="3" cm="1">
        <f t="array" ref="BG2">IFERROR(AVERAGE(_xlfn._xlws.FILTER($C:$C,($F:$F=BG$1)*($B:$B=$I2))),"")</f>
        <v>26.687138992469102</v>
      </c>
      <c r="BH2" s="3" cm="1">
        <f t="array" ref="BH2">IFERROR(AVERAGE(_xlfn._xlws.FILTER($C:$C,($F:$F=BH$1)*($B:$B=$I2))),"")</f>
        <v>63.175806000000001</v>
      </c>
      <c r="BI2" s="3" t="str" cm="1">
        <f t="array" ref="BI2">IFERROR(AVERAGE(_xlfn._xlws.FILTER($C:$C,($F:$F=BI$1)*($B:$B=$I2))),"")</f>
        <v/>
      </c>
      <c r="BJ2" s="3" t="str" cm="1">
        <f t="array" ref="BJ2">IFERROR(AVERAGE(_xlfn._xlws.FILTER($C:$C,($F:$F=BJ$1)*($B:$B=$I2))),"")</f>
        <v/>
      </c>
      <c r="BK2" s="3" t="str" cm="1">
        <f t="array" ref="BK2">IFERROR(AVERAGE(_xlfn._xlws.FILTER($C:$C,($F:$F=BK$1)*($B:$B=$I2))),"")</f>
        <v/>
      </c>
      <c r="BL2" s="3" t="str" cm="1">
        <f t="array" ref="BL2">IFERROR(AVERAGE(_xlfn._xlws.FILTER($C:$C,($F:$F=BL$1)*($B:$B=$I2))),"")</f>
        <v/>
      </c>
      <c r="BM2" s="3" t="str" cm="1">
        <f t="array" ref="BM2">IFERROR(AVERAGE(_xlfn._xlws.FILTER($C:$C,($F:$F=BM$1)*($B:$B=$I2))),"")</f>
        <v/>
      </c>
      <c r="BN2" s="3" cm="1">
        <f t="array" ref="BN2">IFERROR(AVERAGE(_xlfn._xlws.FILTER($C:$C,($F:$F=BN$1)*($B:$B=$I2))),"")</f>
        <v>56.6666666666667</v>
      </c>
      <c r="BO2" s="3" t="str" cm="1">
        <f t="array" ref="BO2">IFERROR(AVERAGE(_xlfn._xlws.FILTER($C:$C,($F:$F=BO$1)*($B:$B=$I2))),"")</f>
        <v/>
      </c>
      <c r="BP2" s="3" cm="1">
        <f t="array" ref="BP2">IFERROR(AVERAGE(_xlfn._xlws.FILTER($C:$C,($F:$F=BP$1)*($B:$B=$I2))),"")</f>
        <v>16.328371415386101</v>
      </c>
      <c r="BQ2" s="3" t="str" cm="1">
        <f t="array" ref="BQ2">IFERROR(AVERAGE(_xlfn._xlws.FILTER($C:$C,($F:$F=BQ$1)*($B:$B=$I2))),"")</f>
        <v/>
      </c>
      <c r="BR2" s="3" cm="1">
        <f t="array" ref="BR2">IFERROR(AVERAGE(_xlfn._xlws.FILTER($C:$C,($F:$F=BR$1)*($B:$B=$I2))),"")</f>
        <v>38.343558282208598</v>
      </c>
      <c r="BS2" s="3" t="str" cm="1">
        <f t="array" ref="BS2">IFERROR(AVERAGE(_xlfn._xlws.FILTER($C:$C,($F:$F=BS$1)*($B:$B=$I2))),"")</f>
        <v/>
      </c>
      <c r="BT2" s="3" t="str" cm="1">
        <f t="array" ref="BT2">IFERROR(AVERAGE(_xlfn._xlws.FILTER($C:$C,($F:$F=BT$1)*($B:$B=$I2))),"")</f>
        <v/>
      </c>
      <c r="BU2" s="3" t="str" cm="1">
        <f t="array" ref="BU2">IFERROR(AVERAGE(_xlfn._xlws.FILTER($C:$C,($F:$F=BU$1)*($B:$B=$I2))),"")</f>
        <v/>
      </c>
      <c r="BV2" s="3" cm="1">
        <f t="array" ref="BV2">IFERROR(AVERAGE(_xlfn._xlws.FILTER($C:$C,($F:$F=BV$1)*($B:$B=$I2))),"")</f>
        <v>47.921826625386998</v>
      </c>
      <c r="BW2" s="3" t="str" cm="1">
        <f t="array" ref="BW2">IFERROR(AVERAGE(_xlfn._xlws.FILTER($C:$C,($F:$F=BW$1)*($B:$B=$I2))),"")</f>
        <v/>
      </c>
      <c r="BX2" s="3" t="str" cm="1">
        <f t="array" ref="BX2">IFERROR(AVERAGE(_xlfn._xlws.FILTER($C:$C,($F:$F=BX$1)*($B:$B=$I2))),"")</f>
        <v/>
      </c>
      <c r="BY2" s="3" t="str" cm="1">
        <f t="array" ref="BY2">IFERROR(AVERAGE(_xlfn._xlws.FILTER($C:$C,($F:$F=BY$1)*($B:$B=$I2))),"")</f>
        <v/>
      </c>
      <c r="BZ2" s="3" t="str" cm="1">
        <f t="array" ref="BZ2">IFERROR(AVERAGE(_xlfn._xlws.FILTER($C:$C,($F:$F=BZ$1)*($B:$B=$I2))),"")</f>
        <v/>
      </c>
      <c r="CA2" s="3" t="str" cm="1">
        <f t="array" ref="CA2">IFERROR(AVERAGE(_xlfn._xlws.FILTER($C:$C,($F:$F=CA$1)*($B:$B=$I2))),"")</f>
        <v/>
      </c>
      <c r="CB2" s="3" t="str" cm="1">
        <f t="array" ref="CB2">IFERROR(AVERAGE(_xlfn._xlws.FILTER($C:$C,($F:$F=CB$1)*($B:$B=$I2))),"")</f>
        <v/>
      </c>
      <c r="CC2" s="3" cm="1">
        <f t="array" ref="CC2">IFERROR(AVERAGE(_xlfn._xlws.FILTER($C:$C,($F:$F=CC$1)*($B:$B=$I2))),"")</f>
        <v>40.826404635928405</v>
      </c>
      <c r="CD2" s="3" t="str" cm="1">
        <f t="array" ref="CD2">IFERROR(AVERAGE(_xlfn._xlws.FILTER($C:$C,($F:$F=CD$1)*($B:$B=$I2))),"")</f>
        <v/>
      </c>
      <c r="CE2" s="3" t="str" cm="1">
        <f t="array" ref="CE2">IFERROR(AVERAGE(_xlfn._xlws.FILTER($C:$C,($F:$F=CE$1)*($B:$B=$I2))),"")</f>
        <v/>
      </c>
      <c r="CF2" s="3" t="str" cm="1">
        <f t="array" ref="CF2">IFERROR(AVERAGE(_xlfn._xlws.FILTER($C:$C,($F:$F=CF$1)*($B:$B=$I2))),"")</f>
        <v/>
      </c>
      <c r="CG2" s="3" cm="1">
        <f t="array" ref="CG2">IFERROR(AVERAGE(_xlfn._xlws.FILTER($C:$C,($F:$F=CG$1)*($B:$B=$I2))),"")</f>
        <v>44.193714580113301</v>
      </c>
      <c r="CH2" s="3" t="str" cm="1">
        <f t="array" ref="CH2">IFERROR(AVERAGE(_xlfn._xlws.FILTER($C:$C,($F:$F=CH$1)*($B:$B=$I2))),"")</f>
        <v/>
      </c>
      <c r="CI2" s="3" cm="1">
        <f t="array" ref="CI2">IFERROR(AVERAGE(_xlfn._xlws.FILTER($C:$C,($F:$F=CI$1)*($B:$B=$I2))),"")</f>
        <v>17.1666666666667</v>
      </c>
      <c r="CJ2" s="3" t="str" cm="1">
        <f t="array" ref="CJ2">IFERROR(AVERAGE(_xlfn._xlws.FILTER($C:$C,($F:$F=CJ$1)*($B:$B=$I2))),"")</f>
        <v/>
      </c>
      <c r="CK2" s="3" t="str" cm="1">
        <f t="array" ref="CK2">IFERROR(AVERAGE(_xlfn._xlws.FILTER($C:$C,($F:$F=CK$1)*($B:$B=$I2))),"")</f>
        <v/>
      </c>
      <c r="CL2" s="3" cm="1">
        <f t="array" ref="CL2">IFERROR(AVERAGE(_xlfn._xlws.FILTER($C:$C,($F:$F=CL$1)*($B:$B=$I2))),"")</f>
        <v>19.30596285434995</v>
      </c>
      <c r="CM2" s="3" t="str" cm="1">
        <f t="array" ref="CM2">IFERROR(AVERAGE(_xlfn._xlws.FILTER($C:$C,($F:$F=CM$1)*($B:$B=$I2))),"")</f>
        <v/>
      </c>
      <c r="CN2" s="3" cm="1">
        <f t="array" ref="CN2">IFERROR(AVERAGE(_xlfn._xlws.FILTER($C:$C,($F:$F=CN$1)*($B:$B=$I2))),"")</f>
        <v>31.751172599784301</v>
      </c>
      <c r="CO2" s="3" t="str" cm="1">
        <f t="array" ref="CO2">IFERROR(AVERAGE(_xlfn._xlws.FILTER($C:$C,($F:$F=CO$1)*($B:$B=$I2))),"")</f>
        <v/>
      </c>
      <c r="CP2" s="3" cm="1">
        <f t="array" ref="CP2">IFERROR(AVERAGE(_xlfn._xlws.FILTER($C:$C,($F:$F=CP$1)*($B:$B=$I2))),"")</f>
        <v>19.7530864197531</v>
      </c>
      <c r="CQ2" s="3" cm="1">
        <f t="array" ref="CQ2">IFERROR(AVERAGE(_xlfn._xlws.FILTER($C:$C,($F:$F=CQ$1)*($B:$B=$I2))),"")</f>
        <v>82.283710428976306</v>
      </c>
      <c r="CR2" s="3" cm="1">
        <f t="array" ref="CR2">IFERROR(AVERAGE(_xlfn._xlws.FILTER($C:$C,($F:$F=CR$1)*($B:$B=$I2))),"")</f>
        <v>8.3210691385336002</v>
      </c>
      <c r="CS2" s="3" cm="1">
        <f t="array" ref="CS2">IFERROR(AVERAGE(_xlfn._xlws.FILTER($C:$C,($F:$F=CS$1)*($B:$B=$I2))),"")</f>
        <v>16.271716844717801</v>
      </c>
      <c r="CT2" s="3" t="str" cm="1">
        <f t="array" ref="CT2">IFERROR(AVERAGE(_xlfn._xlws.FILTER($C:$C,($F:$F=CT$1)*($B:$B=$I2))),"")</f>
        <v/>
      </c>
      <c r="CU2" s="3" cm="1">
        <f t="array" ref="CU2">IFERROR(AVERAGE(_xlfn._xlws.FILTER($C:$C,($F:$F=CU$1)*($B:$B=$I2))),"")</f>
        <v>16.872427983539101</v>
      </c>
      <c r="CV2" s="3" cm="1">
        <f t="array" ref="CV2">IFERROR(AVERAGE(_xlfn._xlws.FILTER($C:$C,($F:$F=CV$1)*($B:$B=$I2))),"")</f>
        <v>30.476190476190499</v>
      </c>
      <c r="CW2" s="3" cm="1">
        <f t="array" ref="CW2">IFERROR(AVERAGE(_xlfn._xlws.FILTER($C:$C,($F:$F=CW$1)*($B:$B=$I2))),"")</f>
        <v>18.518518518518501</v>
      </c>
      <c r="CX2" s="3" cm="1">
        <f t="array" ref="CX2">IFERROR(AVERAGE(_xlfn._xlws.FILTER($C:$C,($F:$F=CX$1)*($B:$B=$I2))),"")</f>
        <v>32.098765432098801</v>
      </c>
      <c r="CY2" s="3" cm="1">
        <f t="array" ref="CY2">IFERROR(AVERAGE(_xlfn._xlws.FILTER($C:$C,($F:$F=CY$1)*($B:$B=$I2))),"")</f>
        <v>68.755439512619702</v>
      </c>
      <c r="CZ2" s="3" t="str" cm="1">
        <f t="array" ref="CZ2">IFERROR(AVERAGE(_xlfn._xlws.FILTER($C:$C,($F:$F=CZ$1)*($B:$B=$I2))),"")</f>
        <v/>
      </c>
      <c r="DA2" s="3" cm="1">
        <f t="array" ref="DA2">IFERROR(AVERAGE(_xlfn._xlws.FILTER($C:$C,($F:$F=DA$1)*($B:$B=$I2))),"")</f>
        <v>37.037037037037052</v>
      </c>
      <c r="DB2" s="3" t="str" cm="1">
        <f t="array" ref="DB2">IFERROR(AVERAGE(_xlfn._xlws.FILTER($C:$C,($F:$F=DB$1)*($B:$B=$I2))),"")</f>
        <v/>
      </c>
      <c r="DC2" s="3" t="str" cm="1">
        <f t="array" ref="DC2">IFERROR(AVERAGE(_xlfn._xlws.FILTER($C:$C,($F:$F=DC$1)*($B:$B=$I2))),"")</f>
        <v/>
      </c>
      <c r="DD2" s="3" t="str" cm="1">
        <f t="array" ref="DD2">IFERROR(AVERAGE(_xlfn._xlws.FILTER($C:$C,($F:$F=DD$1)*($B:$B=$I2))),"")</f>
        <v/>
      </c>
      <c r="DE2" s="3" cm="1">
        <f t="array" ref="DE2">IFERROR(AVERAGE(_xlfn._xlws.FILTER($C:$C,($F:$F=DE$1)*($B:$B=$I2))),"")</f>
        <v>27.6641091219096</v>
      </c>
      <c r="DF2" s="3" cm="1">
        <f t="array" ref="DF2">IFERROR(AVERAGE(_xlfn._xlws.FILTER($C:$C,($F:$F=DF$1)*($B:$B=$I2))),"")</f>
        <v>47.844827586206904</v>
      </c>
      <c r="DG2" s="3" cm="1">
        <f t="array" ref="DG2">IFERROR(AVERAGE(_xlfn._xlws.FILTER($C:$C,($F:$F=DG$1)*($B:$B=$I2))),"")</f>
        <v>21</v>
      </c>
      <c r="DH2" s="3" t="str" cm="1">
        <f t="array" ref="DH2">IFERROR(AVERAGE(_xlfn._xlws.FILTER($C:$C,($F:$F=DH$1)*($B:$B=$I2))),"")</f>
        <v/>
      </c>
      <c r="DI2" s="3" cm="1">
        <f t="array" ref="DI2">IFERROR(AVERAGE(_xlfn._xlws.FILTER($C:$C,($F:$F=DI$1)*($B:$B=$I2))),"")</f>
        <v>17.414945009764601</v>
      </c>
      <c r="DJ2" s="3" t="str" cm="1">
        <f t="array" ref="DJ2">IFERROR(AVERAGE(_xlfn._xlws.FILTER($C:$C,($F:$F=DJ$1)*($B:$B=$I2))),"")</f>
        <v/>
      </c>
      <c r="DK2" s="3" t="str" cm="1">
        <f t="array" ref="DK2">IFERROR(AVERAGE(_xlfn._xlws.FILTER($C:$C,($F:$F=DK$1)*($B:$B=$I2))),"")</f>
        <v/>
      </c>
      <c r="DL2" s="3" t="str" cm="1">
        <f t="array" ref="DL2">IFERROR(AVERAGE(_xlfn._xlws.FILTER($C:$C,($F:$F=DL$1)*($B:$B=$I2))),"")</f>
        <v/>
      </c>
      <c r="DM2" s="3" t="str" cm="1">
        <f t="array" ref="DM2">IFERROR(AVERAGE(_xlfn._xlws.FILTER($C:$C,($F:$F=DM$1)*($B:$B=$I2))),"")</f>
        <v/>
      </c>
      <c r="DN2" s="3" t="str" cm="1">
        <f t="array" ref="DN2">IFERROR(AVERAGE(_xlfn._xlws.FILTER($C:$C,($F:$F=DN$1)*($B:$B=$I2))),"")</f>
        <v/>
      </c>
      <c r="DO2" s="3" t="str" cm="1">
        <f t="array" ref="DO2">IFERROR(AVERAGE(_xlfn._xlws.FILTER($C:$C,($F:$F=DO$1)*($B:$B=$I2))),"")</f>
        <v/>
      </c>
      <c r="DP2" s="3" cm="1">
        <f t="array" ref="DP2">IFERROR(AVERAGE(_xlfn._xlws.FILTER($C:$C,($F:$F=DP$1)*($B:$B=$I2))),"")</f>
        <v>95.351093201999802</v>
      </c>
      <c r="DQ2" s="3" cm="1">
        <f t="array" ref="DQ2">IFERROR(AVERAGE(_xlfn._xlws.FILTER($C:$C,($F:$F=DQ$1)*($B:$B=$I2))),"")</f>
        <v>16.833333333333332</v>
      </c>
      <c r="DR2" s="3" cm="1">
        <f t="array" ref="DR2">IFERROR(AVERAGE(_xlfn._xlws.FILTER($C:$C,($F:$F=DR$1)*($B:$B=$I2))),"")</f>
        <v>39.992000000000012</v>
      </c>
      <c r="DS2" s="3" t="str" cm="1">
        <f t="array" ref="DS2">IFERROR(AVERAGE(_xlfn._xlws.FILTER($C:$C,($F:$F=DS$1)*($B:$B=$I2))),"")</f>
        <v/>
      </c>
      <c r="DT2" s="3" t="str" cm="1">
        <f t="array" ref="DT2">IFERROR(AVERAGE(_xlfn._xlws.FILTER($C:$C,($F:$F=DT$1)*($B:$B=$I2))),"")</f>
        <v/>
      </c>
      <c r="DU2" s="3" t="str" cm="1">
        <f t="array" ref="DU2">IFERROR(AVERAGE(_xlfn._xlws.FILTER($C:$C,($F:$F=DU$1)*($B:$B=$I2))),"")</f>
        <v/>
      </c>
      <c r="DV2" s="3" t="str" cm="1">
        <f t="array" ref="DV2">IFERROR(AVERAGE(_xlfn._xlws.FILTER($C:$C,($F:$F=DV$1)*($B:$B=$I2))),"")</f>
        <v/>
      </c>
      <c r="DW2" s="3" t="str" cm="1">
        <f t="array" ref="DW2">IFERROR(AVERAGE(_xlfn._xlws.FILTER($C:$C,($F:$F=DW$1)*($B:$B=$I2))),"")</f>
        <v/>
      </c>
      <c r="DX2" s="3"/>
      <c r="DZ2" t="str">
        <f>K4</f>
        <v/>
      </c>
      <c r="EA2" t="str" cm="1">
        <f t="array" ref="EA2">INDEX($J$1:$DW$1,0,MATCH(DZ2,J2:JDW2,0))</f>
        <v>Albania</v>
      </c>
      <c r="ED2">
        <f>_xlfn.MINIFS(J2:DX2,J2:DX2,"&gt;=0")</f>
        <v>8.3210691385336002</v>
      </c>
      <c r="EE2" t="str" cm="1">
        <f t="array" ref="EE2">INDEX($J$1:$DW$1,0,MATCH(ED2,J2:JDW2,0))</f>
        <v>Romania</v>
      </c>
    </row>
    <row r="3" spans="1:135" x14ac:dyDescent="0.2">
      <c r="A3">
        <v>27993271</v>
      </c>
      <c r="B3">
        <v>2019</v>
      </c>
      <c r="C3">
        <v>35.673509592782501</v>
      </c>
      <c r="D3" t="s">
        <v>130</v>
      </c>
      <c r="E3" t="s">
        <v>55</v>
      </c>
      <c r="F3" t="s">
        <v>7</v>
      </c>
      <c r="I3" s="2">
        <v>2011</v>
      </c>
      <c r="J3" s="3" cm="1">
        <f t="array" ref="J3">IFERROR(AVERAGE(_xlfn._xlws.FILTER($C:$C,($F:$F=J$1)*($B:$B=$I3))),"")</f>
        <v>46.887617267579103</v>
      </c>
      <c r="K3" s="3" t="str" cm="1">
        <f t="array" ref="K3">IFERROR(AVERAGE(_xlfn._xlws.FILTER($C:$C,($F:$F=K$1)*($B:$B=$I3))),"")</f>
        <v/>
      </c>
      <c r="L3" s="3" cm="1">
        <f t="array" ref="L3">IFERROR(AVERAGE(_xlfn._xlws.FILTER($C:$C,($F:$F=L$1)*($B:$B=$I3))),"")</f>
        <v>33.490499999999997</v>
      </c>
      <c r="M3" s="3" t="str" cm="1">
        <f t="array" ref="M3">IFERROR(AVERAGE(_xlfn._xlws.FILTER($C:$C,($F:$F=M$1)*($B:$B=$I3))),"")</f>
        <v/>
      </c>
      <c r="N3" s="3" cm="1">
        <f t="array" ref="N3">IFERROR(AVERAGE(_xlfn._xlws.FILTER($C:$C,($F:$F=N$1)*($B:$B=$I3))),"")</f>
        <v>56.077760891590678</v>
      </c>
      <c r="O3" s="3" cm="1">
        <f t="array" ref="O3">IFERROR(AVERAGE(_xlfn._xlws.FILTER($C:$C,($F:$F=O$1)*($B:$B=$I3))),"")</f>
        <v>23.913043478260899</v>
      </c>
      <c r="P3" s="3" cm="1">
        <f t="array" ref="P3">IFERROR(AVERAGE(_xlfn._xlws.FILTER($C:$C,($F:$F=P$1)*($B:$B=$I3))),"")</f>
        <v>43.478260869565197</v>
      </c>
      <c r="Q3" s="3" t="str" cm="1">
        <f t="array" ref="Q3">IFERROR(AVERAGE(_xlfn._xlws.FILTER($C:$C,($F:$F=Q$1)*($B:$B=$I3))),"")</f>
        <v/>
      </c>
      <c r="R3" s="3" cm="1">
        <f t="array" ref="R3">IFERROR(AVERAGE(_xlfn._xlws.FILTER($C:$C,($F:$F=R$1)*($B:$B=$I3))),"")</f>
        <v>30</v>
      </c>
      <c r="S3" s="3" t="str" cm="1">
        <f t="array" ref="S3">IFERROR(AVERAGE(_xlfn._xlws.FILTER($C:$C,($F:$F=S$1)*($B:$B=$I3))),"")</f>
        <v/>
      </c>
      <c r="T3" s="3" cm="1">
        <f t="array" ref="T3">IFERROR(AVERAGE(_xlfn._xlws.FILTER($C:$C,($F:$F=T$1)*($B:$B=$I3))),"")</f>
        <v>56.582125603864753</v>
      </c>
      <c r="U3" s="3" t="str" cm="1">
        <f t="array" ref="U3">IFERROR(AVERAGE(_xlfn._xlws.FILTER($C:$C,($F:$F=U$1)*($B:$B=$I3))),"")</f>
        <v/>
      </c>
      <c r="V3" s="3" cm="1">
        <f t="array" ref="V3">IFERROR(AVERAGE(_xlfn._xlws.FILTER($C:$C,($F:$F=V$1)*($B:$B=$I3))),"")</f>
        <v>24.758454106280197</v>
      </c>
      <c r="W3" s="3" t="str" cm="1">
        <f t="array" ref="W3">IFERROR(AVERAGE(_xlfn._xlws.FILTER($C:$C,($F:$F=W$1)*($B:$B=$I3))),"")</f>
        <v/>
      </c>
      <c r="X3" s="3" cm="1">
        <f t="array" ref="X3">IFERROR(AVERAGE(_xlfn._xlws.FILTER($C:$C,($F:$F=X$1)*($B:$B=$I3))),"")</f>
        <v>59.002195815034888</v>
      </c>
      <c r="Y3" s="3" t="str" cm="1">
        <f t="array" ref="Y3">IFERROR(AVERAGE(_xlfn._xlws.FILTER($C:$C,($F:$F=Y$1)*($B:$B=$I3))),"")</f>
        <v/>
      </c>
      <c r="Z3" s="3" cm="1">
        <f t="array" ref="Z3">IFERROR(AVERAGE(_xlfn._xlws.FILTER($C:$C,($F:$F=Z$1)*($B:$B=$I3))),"")</f>
        <v>14.5460358056266</v>
      </c>
      <c r="AA3" s="3" t="str" cm="1">
        <f t="array" ref="AA3">IFERROR(AVERAGE(_xlfn._xlws.FILTER($C:$C,($F:$F=AA$1)*($B:$B=$I3))),"")</f>
        <v/>
      </c>
      <c r="AB3" s="3" cm="1">
        <f t="array" ref="AB3">IFERROR(AVERAGE(_xlfn._xlws.FILTER($C:$C,($F:$F=AB$1)*($B:$B=$I3))),"")</f>
        <v>47.073596792668958</v>
      </c>
      <c r="AC3" s="3" cm="1">
        <f t="array" ref="AC3">IFERROR(AVERAGE(_xlfn._xlws.FILTER($C:$C,($F:$F=AC$1)*($B:$B=$I3))),"")</f>
        <v>40.75</v>
      </c>
      <c r="AD3" s="3" cm="1">
        <f t="array" ref="AD3">IFERROR(AVERAGE(_xlfn._xlws.FILTER($C:$C,($F:$F=AD$1)*($B:$B=$I3))),"")</f>
        <v>27.2543333333333</v>
      </c>
      <c r="AE3" s="3" cm="1">
        <f t="array" ref="AE3">IFERROR(AVERAGE(_xlfn._xlws.FILTER($C:$C,($F:$F=AE$1)*($B:$B=$I3))),"")</f>
        <v>47.5</v>
      </c>
      <c r="AF3" s="3" cm="1">
        <f t="array" ref="AF3">IFERROR(AVERAGE(_xlfn._xlws.FILTER($C:$C,($F:$F=AF$1)*($B:$B=$I3))),"")</f>
        <v>28.0385322092521</v>
      </c>
      <c r="AG3" s="3" t="str" cm="1">
        <f t="array" ref="AG3">IFERROR(AVERAGE(_xlfn._xlws.FILTER($C:$C,($F:$F=AG$1)*($B:$B=$I3))),"")</f>
        <v/>
      </c>
      <c r="AH3" s="3" cm="1">
        <f t="array" ref="AH3">IFERROR(AVERAGE(_xlfn._xlws.FILTER($C:$C,($F:$F=AH$1)*($B:$B=$I3))),"")</f>
        <v>28.109935332157551</v>
      </c>
      <c r="AI3" s="3" t="str" cm="1">
        <f t="array" ref="AI3">IFERROR(AVERAGE(_xlfn._xlws.FILTER($C:$C,($F:$F=AI$1)*($B:$B=$I3))),"")</f>
        <v/>
      </c>
      <c r="AJ3" s="3" cm="1">
        <f t="array" ref="AJ3">IFERROR(AVERAGE(_xlfn._xlws.FILTER($C:$C,($F:$F=AJ$1)*($B:$B=$I3))),"")</f>
        <v>47</v>
      </c>
      <c r="AK3" s="3" cm="1">
        <f t="array" ref="AK3">IFERROR(AVERAGE(_xlfn._xlws.FILTER($C:$C,($F:$F=AK$1)*($B:$B=$I3))),"")</f>
        <v>40</v>
      </c>
      <c r="AL3" s="3" t="str" cm="1">
        <f t="array" ref="AL3">IFERROR(AVERAGE(_xlfn._xlws.FILTER($C:$C,($F:$F=AL$1)*($B:$B=$I3))),"")</f>
        <v/>
      </c>
      <c r="AM3" s="3" cm="1">
        <f t="array" ref="AM3">IFERROR(AVERAGE(_xlfn._xlws.FILTER($C:$C,($F:$F=AM$1)*($B:$B=$I3))),"")</f>
        <v>28.198067632850201</v>
      </c>
      <c r="AN3" s="3" t="str" cm="1">
        <f t="array" ref="AN3">IFERROR(AVERAGE(_xlfn._xlws.FILTER($C:$C,($F:$F=AN$1)*($B:$B=$I3))),"")</f>
        <v/>
      </c>
      <c r="AO3" s="3" cm="1">
        <f t="array" ref="AO3">IFERROR(AVERAGE(_xlfn._xlws.FILTER($C:$C,($F:$F=AO$1)*($B:$B=$I3))),"")</f>
        <v>28.985507246376802</v>
      </c>
      <c r="AP3" s="3" cm="1">
        <f t="array" ref="AP3">IFERROR(AVERAGE(_xlfn._xlws.FILTER($C:$C,($F:$F=AP$1)*($B:$B=$I3))),"")</f>
        <v>42.751811594202898</v>
      </c>
      <c r="AQ3" s="3" t="str" cm="1">
        <f t="array" ref="AQ3">IFERROR(AVERAGE(_xlfn._xlws.FILTER($C:$C,($F:$F=AQ$1)*($B:$B=$I3))),"")</f>
        <v/>
      </c>
      <c r="AR3" s="3" cm="1">
        <f t="array" ref="AR3">IFERROR(AVERAGE(_xlfn._xlws.FILTER($C:$C,($F:$F=AR$1)*($B:$B=$I3))),"")</f>
        <v>31.113727858293071</v>
      </c>
      <c r="AS3" s="3" t="str" cm="1">
        <f t="array" ref="AS3">IFERROR(AVERAGE(_xlfn._xlws.FILTER($C:$C,($F:$F=AS$1)*($B:$B=$I3))),"")</f>
        <v/>
      </c>
      <c r="AT3" s="3" cm="1">
        <f t="array" ref="AT3">IFERROR(AVERAGE(_xlfn._xlws.FILTER($C:$C,($F:$F=AT$1)*($B:$B=$I3))),"")</f>
        <v>32.171900161030599</v>
      </c>
      <c r="AU3" s="3" t="str" cm="1">
        <f t="array" ref="AU3">IFERROR(AVERAGE(_xlfn._xlws.FILTER($C:$C,($F:$F=AU$1)*($B:$B=$I3))),"")</f>
        <v/>
      </c>
      <c r="AV3" s="3" t="str" cm="1">
        <f t="array" ref="AV3">IFERROR(AVERAGE(_xlfn._xlws.FILTER($C:$C,($F:$F=AV$1)*($B:$B=$I3))),"")</f>
        <v/>
      </c>
      <c r="AW3" s="3" cm="1">
        <f t="array" ref="AW3">IFERROR(AVERAGE(_xlfn._xlws.FILTER($C:$C,($F:$F=AW$1)*($B:$B=$I3))),"")</f>
        <v>28.430601905908699</v>
      </c>
      <c r="AX3" s="3" cm="1">
        <f t="array" ref="AX3">IFERROR(AVERAGE(_xlfn._xlws.FILTER($C:$C,($F:$F=AX$1)*($B:$B=$I3))),"")</f>
        <v>36.222130423307703</v>
      </c>
      <c r="AY3" s="3" cm="1">
        <f t="array" ref="AY3">IFERROR(AVERAGE(_xlfn._xlws.FILTER($C:$C,($F:$F=AY$1)*($B:$B=$I3))),"")</f>
        <v>20.931382716441664</v>
      </c>
      <c r="AZ3" s="3" cm="1">
        <f t="array" ref="AZ3">IFERROR(AVERAGE(_xlfn._xlws.FILTER($C:$C,($F:$F=AZ$1)*($B:$B=$I3))),"")</f>
        <v>42.935458248194301</v>
      </c>
      <c r="BA3" s="3" cm="1">
        <f t="array" ref="BA3">IFERROR(AVERAGE(_xlfn._xlws.FILTER($C:$C,($F:$F=BA$1)*($B:$B=$I3))),"")</f>
        <v>32.3333333333333</v>
      </c>
      <c r="BB3" s="3" t="str" cm="1">
        <f t="array" ref="BB3">IFERROR(AVERAGE(_xlfn._xlws.FILTER($C:$C,($F:$F=BB$1)*($B:$B=$I3))),"")</f>
        <v/>
      </c>
      <c r="BC3" s="3" cm="1">
        <f t="array" ref="BC3">IFERROR(AVERAGE(_xlfn._xlws.FILTER($C:$C,($F:$F=BC$1)*($B:$B=$I3))),"")</f>
        <v>53.3333333333333</v>
      </c>
      <c r="BD3" s="3" cm="1">
        <f t="array" ref="BD3">IFERROR(AVERAGE(_xlfn._xlws.FILTER($C:$C,($F:$F=BD$1)*($B:$B=$I3))),"")</f>
        <v>43.859649122806999</v>
      </c>
      <c r="BE3" s="3" cm="1">
        <f t="array" ref="BE3">IFERROR(AVERAGE(_xlfn._xlws.FILTER($C:$C,($F:$F=BE$1)*($B:$B=$I3))),"")</f>
        <v>34.855072463768096</v>
      </c>
      <c r="BF3" s="3" t="str" cm="1">
        <f t="array" ref="BF3">IFERROR(AVERAGE(_xlfn._xlws.FILTER($C:$C,($F:$F=BF$1)*($B:$B=$I3))),"")</f>
        <v/>
      </c>
      <c r="BG3" s="3" cm="1">
        <f t="array" ref="BG3">IFERROR(AVERAGE(_xlfn._xlws.FILTER($C:$C,($F:$F=BG$1)*($B:$B=$I3))),"")</f>
        <v>33.3726357160403</v>
      </c>
      <c r="BH3" s="3" cm="1">
        <f t="array" ref="BH3">IFERROR(AVERAGE(_xlfn._xlws.FILTER($C:$C,($F:$F=BH$1)*($B:$B=$I3))),"")</f>
        <v>47.5</v>
      </c>
      <c r="BI3" s="3" t="str" cm="1">
        <f t="array" ref="BI3">IFERROR(AVERAGE(_xlfn._xlws.FILTER($C:$C,($F:$F=BI$1)*($B:$B=$I3))),"")</f>
        <v/>
      </c>
      <c r="BJ3" s="3" t="str" cm="1">
        <f t="array" ref="BJ3">IFERROR(AVERAGE(_xlfn._xlws.FILTER($C:$C,($F:$F=BJ$1)*($B:$B=$I3))),"")</f>
        <v/>
      </c>
      <c r="BK3" s="3" t="str" cm="1">
        <f t="array" ref="BK3">IFERROR(AVERAGE(_xlfn._xlws.FILTER($C:$C,($F:$F=BK$1)*($B:$B=$I3))),"")</f>
        <v/>
      </c>
      <c r="BL3" s="3" t="str" cm="1">
        <f t="array" ref="BL3">IFERROR(AVERAGE(_xlfn._xlws.FILTER($C:$C,($F:$F=BL$1)*($B:$B=$I3))),"")</f>
        <v/>
      </c>
      <c r="BM3" s="3" cm="1">
        <f t="array" ref="BM3">IFERROR(AVERAGE(_xlfn._xlws.FILTER($C:$C,($F:$F=BM$1)*($B:$B=$I3))),"")</f>
        <v>20.557030133475099</v>
      </c>
      <c r="BN3" s="3" cm="1">
        <f t="array" ref="BN3">IFERROR(AVERAGE(_xlfn._xlws.FILTER($C:$C,($F:$F=BN$1)*($B:$B=$I3))),"")</f>
        <v>46.6666666666667</v>
      </c>
      <c r="BO3" s="3" t="str" cm="1">
        <f t="array" ref="BO3">IFERROR(AVERAGE(_xlfn._xlws.FILTER($C:$C,($F:$F=BO$1)*($B:$B=$I3))),"")</f>
        <v/>
      </c>
      <c r="BP3" s="3" cm="1">
        <f t="array" ref="BP3">IFERROR(AVERAGE(_xlfn._xlws.FILTER($C:$C,($F:$F=BP$1)*($B:$B=$I3))),"")</f>
        <v>18.2586533424669</v>
      </c>
      <c r="BQ3" s="3" t="str" cm="1">
        <f t="array" ref="BQ3">IFERROR(AVERAGE(_xlfn._xlws.FILTER($C:$C,($F:$F=BQ$1)*($B:$B=$I3))),"")</f>
        <v/>
      </c>
      <c r="BR3" s="3" cm="1">
        <f t="array" ref="BR3">IFERROR(AVERAGE(_xlfn._xlws.FILTER($C:$C,($F:$F=BR$1)*($B:$B=$I3))),"")</f>
        <v>33.97916666666665</v>
      </c>
      <c r="BS3" s="3" t="str" cm="1">
        <f t="array" ref="BS3">IFERROR(AVERAGE(_xlfn._xlws.FILTER($C:$C,($F:$F=BS$1)*($B:$B=$I3))),"")</f>
        <v/>
      </c>
      <c r="BT3" s="3" t="str" cm="1">
        <f t="array" ref="BT3">IFERROR(AVERAGE(_xlfn._xlws.FILTER($C:$C,($F:$F=BT$1)*($B:$B=$I3))),"")</f>
        <v/>
      </c>
      <c r="BU3" s="3" t="str" cm="1">
        <f t="array" ref="BU3">IFERROR(AVERAGE(_xlfn._xlws.FILTER($C:$C,($F:$F=BU$1)*($B:$B=$I3))),"")</f>
        <v/>
      </c>
      <c r="BV3" s="3" cm="1">
        <f t="array" ref="BV3">IFERROR(AVERAGE(_xlfn._xlws.FILTER($C:$C,($F:$F=BV$1)*($B:$B=$I3))),"")</f>
        <v>50.547392682224149</v>
      </c>
      <c r="BW3" s="3" t="str" cm="1">
        <f t="array" ref="BW3">IFERROR(AVERAGE(_xlfn._xlws.FILTER($C:$C,($F:$F=BW$1)*($B:$B=$I3))),"")</f>
        <v/>
      </c>
      <c r="BX3" s="3" t="str" cm="1">
        <f t="array" ref="BX3">IFERROR(AVERAGE(_xlfn._xlws.FILTER($C:$C,($F:$F=BX$1)*($B:$B=$I3))),"")</f>
        <v/>
      </c>
      <c r="BY3" s="3" t="str" cm="1">
        <f t="array" ref="BY3">IFERROR(AVERAGE(_xlfn._xlws.FILTER($C:$C,($F:$F=BY$1)*($B:$B=$I3))),"")</f>
        <v/>
      </c>
      <c r="BZ3" s="3" t="str" cm="1">
        <f t="array" ref="BZ3">IFERROR(AVERAGE(_xlfn._xlws.FILTER($C:$C,($F:$F=BZ$1)*($B:$B=$I3))),"")</f>
        <v/>
      </c>
      <c r="CA3" s="3" t="str" cm="1">
        <f t="array" ref="CA3">IFERROR(AVERAGE(_xlfn._xlws.FILTER($C:$C,($F:$F=CA$1)*($B:$B=$I3))),"")</f>
        <v/>
      </c>
      <c r="CB3" s="3" t="str" cm="1">
        <f t="array" ref="CB3">IFERROR(AVERAGE(_xlfn._xlws.FILTER($C:$C,($F:$F=CB$1)*($B:$B=$I3))),"")</f>
        <v/>
      </c>
      <c r="CC3" s="3" cm="1">
        <f t="array" ref="CC3">IFERROR(AVERAGE(_xlfn._xlws.FILTER($C:$C,($F:$F=CC$1)*($B:$B=$I3))),"")</f>
        <v>61.185950413223168</v>
      </c>
      <c r="CD3" s="3" t="str" cm="1">
        <f t="array" ref="CD3">IFERROR(AVERAGE(_xlfn._xlws.FILTER($C:$C,($F:$F=CD$1)*($B:$B=$I3))),"")</f>
        <v/>
      </c>
      <c r="CE3" s="3" t="str" cm="1">
        <f t="array" ref="CE3">IFERROR(AVERAGE(_xlfn._xlws.FILTER($C:$C,($F:$F=CE$1)*($B:$B=$I3))),"")</f>
        <v/>
      </c>
      <c r="CF3" s="3" cm="1">
        <f t="array" ref="CF3">IFERROR(AVERAGE(_xlfn._xlws.FILTER($C:$C,($F:$F=CF$1)*($B:$B=$I3))),"")</f>
        <v>10.144927536231901</v>
      </c>
      <c r="CG3" s="3" cm="1">
        <f t="array" ref="CG3">IFERROR(AVERAGE(_xlfn._xlws.FILTER($C:$C,($F:$F=CG$1)*($B:$B=$I3))),"")</f>
        <v>52.164054726368171</v>
      </c>
      <c r="CH3" s="3" cm="1">
        <f t="array" ref="CH3">IFERROR(AVERAGE(_xlfn._xlws.FILTER($C:$C,($F:$F=CH$1)*($B:$B=$I3))),"")</f>
        <v>52</v>
      </c>
      <c r="CI3" s="3" cm="1">
        <f t="array" ref="CI3">IFERROR(AVERAGE(_xlfn._xlws.FILTER($C:$C,($F:$F=CI$1)*($B:$B=$I3))),"")</f>
        <v>23.628977777777767</v>
      </c>
      <c r="CJ3" s="3" cm="1">
        <f t="array" ref="CJ3">IFERROR(AVERAGE(_xlfn._xlws.FILTER($C:$C,($F:$F=CJ$1)*($B:$B=$I3))),"")</f>
        <v>34.99</v>
      </c>
      <c r="CK3" s="3" t="str" cm="1">
        <f t="array" ref="CK3">IFERROR(AVERAGE(_xlfn._xlws.FILTER($C:$C,($F:$F=CK$1)*($B:$B=$I3))),"")</f>
        <v/>
      </c>
      <c r="CL3" s="3" cm="1">
        <f t="array" ref="CL3">IFERROR(AVERAGE(_xlfn._xlws.FILTER($C:$C,($F:$F=CL$1)*($B:$B=$I3))),"")</f>
        <v>21.212744289884899</v>
      </c>
      <c r="CM3" s="3" t="str" cm="1">
        <f t="array" ref="CM3">IFERROR(AVERAGE(_xlfn._xlws.FILTER($C:$C,($F:$F=CM$1)*($B:$B=$I3))),"")</f>
        <v/>
      </c>
      <c r="CN3" s="3" cm="1">
        <f t="array" ref="CN3">IFERROR(AVERAGE(_xlfn._xlws.FILTER($C:$C,($F:$F=CN$1)*($B:$B=$I3))),"")</f>
        <v>27.062553158586599</v>
      </c>
      <c r="CO3" s="3" cm="1">
        <f t="array" ref="CO3">IFERROR(AVERAGE(_xlfn._xlws.FILTER($C:$C,($F:$F=CO$1)*($B:$B=$I3))),"")</f>
        <v>23.553509548035084</v>
      </c>
      <c r="CP3" s="3" cm="1">
        <f t="array" ref="CP3">IFERROR(AVERAGE(_xlfn._xlws.FILTER($C:$C,($F:$F=CP$1)*($B:$B=$I3))),"")</f>
        <v>29.371980676328501</v>
      </c>
      <c r="CQ3" s="3" cm="1">
        <f t="array" ref="CQ3">IFERROR(AVERAGE(_xlfn._xlws.FILTER($C:$C,($F:$F=CQ$1)*($B:$B=$I3))),"")</f>
        <v>93.659000000000006</v>
      </c>
      <c r="CR3" s="3" cm="1">
        <f t="array" ref="CR3">IFERROR(AVERAGE(_xlfn._xlws.FILTER($C:$C,($F:$F=CR$1)*($B:$B=$I3))),"")</f>
        <v>11.063357938357949</v>
      </c>
      <c r="CS3" s="3" cm="1">
        <f t="array" ref="CS3">IFERROR(AVERAGE(_xlfn._xlws.FILTER($C:$C,($F:$F=CS$1)*($B:$B=$I3))),"")</f>
        <v>14.32817900131095</v>
      </c>
      <c r="CT3" s="3" cm="1">
        <f t="array" ref="CT3">IFERROR(AVERAGE(_xlfn._xlws.FILTER($C:$C,($F:$F=CT$1)*($B:$B=$I3))),"")</f>
        <v>79</v>
      </c>
      <c r="CU3" s="3" cm="1">
        <f t="array" ref="CU3">IFERROR(AVERAGE(_xlfn._xlws.FILTER($C:$C,($F:$F=CU$1)*($B:$B=$I3))),"")</f>
        <v>26.3285024154589</v>
      </c>
      <c r="CV3" s="3" cm="1">
        <f t="array" ref="CV3">IFERROR(AVERAGE(_xlfn._xlws.FILTER($C:$C,($F:$F=CV$1)*($B:$B=$I3))),"")</f>
        <v>32.255784865541003</v>
      </c>
      <c r="CW3" s="3" cm="1">
        <f t="array" ref="CW3">IFERROR(AVERAGE(_xlfn._xlws.FILTER($C:$C,($F:$F=CW$1)*($B:$B=$I3))),"")</f>
        <v>21.739130434782599</v>
      </c>
      <c r="CX3" s="3" cm="1">
        <f t="array" ref="CX3">IFERROR(AVERAGE(_xlfn._xlws.FILTER($C:$C,($F:$F=CX$1)*($B:$B=$I3))),"")</f>
        <v>28.985507246376802</v>
      </c>
      <c r="CY3" s="3" cm="1">
        <f t="array" ref="CY3">IFERROR(AVERAGE(_xlfn._xlws.FILTER($C:$C,($F:$F=CY$1)*($B:$B=$I3))),"")</f>
        <v>78.929971988795543</v>
      </c>
      <c r="CZ3" s="3" cm="1">
        <f t="array" ref="CZ3">IFERROR(AVERAGE(_xlfn._xlws.FILTER($C:$C,($F:$F=CZ$1)*($B:$B=$I3))),"")</f>
        <v>20.5907015745831</v>
      </c>
      <c r="DA3" s="3" cm="1">
        <f t="array" ref="DA3">IFERROR(AVERAGE(_xlfn._xlws.FILTER($C:$C,($F:$F=DA$1)*($B:$B=$I3))),"")</f>
        <v>46.541867954911439</v>
      </c>
      <c r="DB3" s="3" cm="1">
        <f t="array" ref="DB3">IFERROR(AVERAGE(_xlfn._xlws.FILTER($C:$C,($F:$F=DB$1)*($B:$B=$I3))),"")</f>
        <v>21.344999999999999</v>
      </c>
      <c r="DC3" s="3" cm="1">
        <f t="array" ref="DC3">IFERROR(AVERAGE(_xlfn._xlws.FILTER($C:$C,($F:$F=DC$1)*($B:$B=$I3))),"")</f>
        <v>67.5</v>
      </c>
      <c r="DD3" s="3" t="str" cm="1">
        <f t="array" ref="DD3">IFERROR(AVERAGE(_xlfn._xlws.FILTER($C:$C,($F:$F=DD$1)*($B:$B=$I3))),"")</f>
        <v/>
      </c>
      <c r="DE3" s="3" cm="1">
        <f t="array" ref="DE3">IFERROR(AVERAGE(_xlfn._xlws.FILTER($C:$C,($F:$F=DE$1)*($B:$B=$I3))),"")</f>
        <v>33.744849092326554</v>
      </c>
      <c r="DF3" s="3" cm="1">
        <f t="array" ref="DF3">IFERROR(AVERAGE(_xlfn._xlws.FILTER($C:$C,($F:$F=DF$1)*($B:$B=$I3))),"")</f>
        <v>58.267973856209132</v>
      </c>
      <c r="DG3" s="3" cm="1">
        <f t="array" ref="DG3">IFERROR(AVERAGE(_xlfn._xlws.FILTER($C:$C,($F:$F=DG$1)*($B:$B=$I3))),"")</f>
        <v>20</v>
      </c>
      <c r="DH3" s="3" t="str" cm="1">
        <f t="array" ref="DH3">IFERROR(AVERAGE(_xlfn._xlws.FILTER($C:$C,($F:$F=DH$1)*($B:$B=$I3))),"")</f>
        <v/>
      </c>
      <c r="DI3" s="3" cm="1">
        <f t="array" ref="DI3">IFERROR(AVERAGE(_xlfn._xlws.FILTER($C:$C,($F:$F=DI$1)*($B:$B=$I3))),"")</f>
        <v>21.154016130814249</v>
      </c>
      <c r="DJ3" s="3" t="str" cm="1">
        <f t="array" ref="DJ3">IFERROR(AVERAGE(_xlfn._xlws.FILTER($C:$C,($F:$F=DJ$1)*($B:$B=$I3))),"")</f>
        <v/>
      </c>
      <c r="DK3" s="3" t="str" cm="1">
        <f t="array" ref="DK3">IFERROR(AVERAGE(_xlfn._xlws.FILTER($C:$C,($F:$F=DK$1)*($B:$B=$I3))),"")</f>
        <v/>
      </c>
      <c r="DL3" s="3" t="str" cm="1">
        <f t="array" ref="DL3">IFERROR(AVERAGE(_xlfn._xlws.FILTER($C:$C,($F:$F=DL$1)*($B:$B=$I3))),"")</f>
        <v/>
      </c>
      <c r="DM3" s="3" cm="1">
        <f t="array" ref="DM3">IFERROR(AVERAGE(_xlfn._xlws.FILTER($C:$C,($F:$F=DM$1)*($B:$B=$I3))),"")</f>
        <v>30.943914169441399</v>
      </c>
      <c r="DN3" s="3" t="str" cm="1">
        <f t="array" ref="DN3">IFERROR(AVERAGE(_xlfn._xlws.FILTER($C:$C,($F:$F=DN$1)*($B:$B=$I3))),"")</f>
        <v/>
      </c>
      <c r="DO3" s="3" t="str" cm="1">
        <f t="array" ref="DO3">IFERROR(AVERAGE(_xlfn._xlws.FILTER($C:$C,($F:$F=DO$1)*($B:$B=$I3))),"")</f>
        <v/>
      </c>
      <c r="DP3" s="3" cm="1">
        <f t="array" ref="DP3">IFERROR(AVERAGE(_xlfn._xlws.FILTER($C:$C,($F:$F=DP$1)*($B:$B=$I3))),"")</f>
        <v>79.1666666666667</v>
      </c>
      <c r="DQ3" s="3" cm="1">
        <f t="array" ref="DQ3">IFERROR(AVERAGE(_xlfn._xlws.FILTER($C:$C,($F:$F=DQ$1)*($B:$B=$I3))),"")</f>
        <v>33.809289617486336</v>
      </c>
      <c r="DR3" s="3" cm="1">
        <f t="array" ref="DR3">IFERROR(AVERAGE(_xlfn._xlws.FILTER($C:$C,($F:$F=DR$1)*($B:$B=$I3))),"")</f>
        <v>46.239931034482758</v>
      </c>
      <c r="DS3" s="3" cm="1">
        <f t="array" ref="DS3">IFERROR(AVERAGE(_xlfn._xlws.FILTER($C:$C,($F:$F=DS$1)*($B:$B=$I3))),"")</f>
        <v>55.012</v>
      </c>
      <c r="DT3" s="3" t="str" cm="1">
        <f t="array" ref="DT3">IFERROR(AVERAGE(_xlfn._xlws.FILTER($C:$C,($F:$F=DT$1)*($B:$B=$I3))),"")</f>
        <v/>
      </c>
      <c r="DU3" s="3" cm="1">
        <f t="array" ref="DU3">IFERROR(AVERAGE(_xlfn._xlws.FILTER($C:$C,($F:$F=DU$1)*($B:$B=$I3))),"")</f>
        <v>57.5</v>
      </c>
      <c r="DV3" s="3" cm="1">
        <f t="array" ref="DV3">IFERROR(AVERAGE(_xlfn._xlws.FILTER($C:$C,($F:$F=DV$1)*($B:$B=$I3))),"")</f>
        <v>23</v>
      </c>
      <c r="DW3" s="3" t="str" cm="1">
        <f t="array" ref="DW3">IFERROR(AVERAGE(_xlfn._xlws.FILTER($C:$C,($F:$F=DW$1)*($B:$B=$I3))),"")</f>
        <v/>
      </c>
      <c r="DX3" s="3"/>
      <c r="DZ3">
        <f t="shared" ref="DZ3:DZ17" si="0">_xlfn.MAXIFS(J3:DX3,J3:DX3,"&gt;=0")</f>
        <v>93.659000000000006</v>
      </c>
      <c r="EA3" t="str" cm="1">
        <f t="array" ref="EA3">INDEX($J$1:$DW$1,0,MATCH(DZ3,J3:JDW3,0))</f>
        <v>Qatar</v>
      </c>
      <c r="ED3">
        <f t="shared" ref="ED3:ED17" si="1">_xlfn.MINIFS(J3:DX3,J3:DX3,"&gt;=0")</f>
        <v>10.144927536231901</v>
      </c>
      <c r="EE3" t="str" cm="1">
        <f t="array" ref="EE3">INDEX($J$1:$DW$1,0,MATCH(ED3,J3:JDW3,0))</f>
        <v>North Macedonia</v>
      </c>
    </row>
    <row r="4" spans="1:135" x14ac:dyDescent="0.2">
      <c r="A4">
        <v>27993271</v>
      </c>
      <c r="B4">
        <v>2018</v>
      </c>
      <c r="C4">
        <v>32.462921873175297</v>
      </c>
      <c r="D4" t="s">
        <v>130</v>
      </c>
      <c r="E4" t="s">
        <v>55</v>
      </c>
      <c r="F4" t="s">
        <v>7</v>
      </c>
      <c r="I4" s="2">
        <v>2012</v>
      </c>
      <c r="J4" s="3" cm="1">
        <f t="array" ref="J4">IFERROR(AVERAGE(_xlfn._xlws.FILTER($C:$C,($F:$F=J$1)*($B:$B=$I4))),"")</f>
        <v>24.351196258873799</v>
      </c>
      <c r="K4" s="3" t="str" cm="1">
        <f t="array" ref="K4">IFERROR(AVERAGE(_xlfn._xlws.FILTER($C:$C,($F:$F=K$1)*($B:$B=$I4))),"")</f>
        <v/>
      </c>
      <c r="L4" s="3" cm="1">
        <f t="array" ref="L4">IFERROR(AVERAGE(_xlfn._xlws.FILTER($C:$C,($F:$F=L$1)*($B:$B=$I4))),"")</f>
        <v>35.036987322893403</v>
      </c>
      <c r="M4" s="3" cm="1">
        <f t="array" ref="M4">IFERROR(AVERAGE(_xlfn._xlws.FILTER($C:$C,($F:$F=M$1)*($B:$B=$I4))),"")</f>
        <v>24.2749428593476</v>
      </c>
      <c r="N4" s="3" cm="1">
        <f t="array" ref="N4">IFERROR(AVERAGE(_xlfn._xlws.FILTER($C:$C,($F:$F=N$1)*($B:$B=$I4))),"")</f>
        <v>59.475979454741605</v>
      </c>
      <c r="O4" s="3" cm="1">
        <f t="array" ref="O4">IFERROR(AVERAGE(_xlfn._xlws.FILTER($C:$C,($F:$F=O$1)*($B:$B=$I4))),"")</f>
        <v>21.584362139917701</v>
      </c>
      <c r="P4" s="3" cm="1">
        <f t="array" ref="P4">IFERROR(AVERAGE(_xlfn._xlws.FILTER($C:$C,($F:$F=P$1)*($B:$B=$I4))),"")</f>
        <v>37.935784999375699</v>
      </c>
      <c r="Q4" s="3" cm="1">
        <f t="array" ref="Q4">IFERROR(AVERAGE(_xlfn._xlws.FILTER($C:$C,($F:$F=Q$1)*($B:$B=$I4))),"")</f>
        <v>60.192322861465897</v>
      </c>
      <c r="R4" s="3" cm="1">
        <f t="array" ref="R4">IFERROR(AVERAGE(_xlfn._xlws.FILTER($C:$C,($F:$F=R$1)*($B:$B=$I4))),"")</f>
        <v>37.965530068195903</v>
      </c>
      <c r="S4" s="3" cm="1">
        <f t="array" ref="S4">IFERROR(AVERAGE(_xlfn._xlws.FILTER($C:$C,($F:$F=S$1)*($B:$B=$I4))),"")</f>
        <v>19.100000000000001</v>
      </c>
      <c r="T4" s="3" cm="1">
        <f t="array" ref="T4">IFERROR(AVERAGE(_xlfn._xlws.FILTER($C:$C,($F:$F=T$1)*($B:$B=$I4))),"")</f>
        <v>51.984126984127002</v>
      </c>
      <c r="U4" s="3" t="str" cm="1">
        <f t="array" ref="U4">IFERROR(AVERAGE(_xlfn._xlws.FILTER($C:$C,($F:$F=U$1)*($B:$B=$I4))),"")</f>
        <v/>
      </c>
      <c r="V4" s="3" cm="1">
        <f t="array" ref="V4">IFERROR(AVERAGE(_xlfn._xlws.FILTER($C:$C,($F:$F=V$1)*($B:$B=$I4))),"")</f>
        <v>22.138670648776351</v>
      </c>
      <c r="W4" s="3" t="str" cm="1">
        <f t="array" ref="W4">IFERROR(AVERAGE(_xlfn._xlws.FILTER($C:$C,($F:$F=W$1)*($B:$B=$I4))),"")</f>
        <v/>
      </c>
      <c r="X4" s="3" cm="1">
        <f t="array" ref="X4">IFERROR(AVERAGE(_xlfn._xlws.FILTER($C:$C,($F:$F=X$1)*($B:$B=$I4))),"")</f>
        <v>37.947044334975402</v>
      </c>
      <c r="Y4" s="3" t="str" cm="1">
        <f t="array" ref="Y4">IFERROR(AVERAGE(_xlfn._xlws.FILTER($C:$C,($F:$F=Y$1)*($B:$B=$I4))),"")</f>
        <v/>
      </c>
      <c r="Z4" s="3" cm="1">
        <f t="array" ref="Z4">IFERROR(AVERAGE(_xlfn._xlws.FILTER($C:$C,($F:$F=Z$1)*($B:$B=$I4))),"")</f>
        <v>9.9849306811332106</v>
      </c>
      <c r="AA4" s="3" cm="1">
        <f t="array" ref="AA4">IFERROR(AVERAGE(_xlfn._xlws.FILTER($C:$C,($F:$F=AA$1)*($B:$B=$I4))),"")</f>
        <v>53.3333333333333</v>
      </c>
      <c r="AB4" s="3" cm="1">
        <f t="array" ref="AB4">IFERROR(AVERAGE(_xlfn._xlws.FILTER($C:$C,($F:$F=AB$1)*($B:$B=$I4))),"")</f>
        <v>44.018984215045236</v>
      </c>
      <c r="AC4" s="3" cm="1">
        <f t="array" ref="AC4">IFERROR(AVERAGE(_xlfn._xlws.FILTER($C:$C,($F:$F=AC$1)*($B:$B=$I4))),"")</f>
        <v>40.066615176675</v>
      </c>
      <c r="AD4" s="3" cm="1">
        <f t="array" ref="AD4">IFERROR(AVERAGE(_xlfn._xlws.FILTER($C:$C,($F:$F=AD$1)*($B:$B=$I4))),"")</f>
        <v>40.444255985679149</v>
      </c>
      <c r="AE4" s="3" cm="1">
        <f t="array" ref="AE4">IFERROR(AVERAGE(_xlfn._xlws.FILTER($C:$C,($F:$F=AE$1)*($B:$B=$I4))),"")</f>
        <v>51.922503446917503</v>
      </c>
      <c r="AF4" s="3" cm="1">
        <f t="array" ref="AF4">IFERROR(AVERAGE(_xlfn._xlws.FILTER($C:$C,($F:$F=AF$1)*($B:$B=$I4))),"")</f>
        <v>25.583970856101967</v>
      </c>
      <c r="AG4" s="3" cm="1">
        <f t="array" ref="AG4">IFERROR(AVERAGE(_xlfn._xlws.FILTER($C:$C,($F:$F=AG$1)*($B:$B=$I4))),"")</f>
        <v>58.641975308642003</v>
      </c>
      <c r="AH4" s="3" cm="1">
        <f t="array" ref="AH4">IFERROR(AVERAGE(_xlfn._xlws.FILTER($C:$C,($F:$F=AH$1)*($B:$B=$I4))),"")</f>
        <v>20.0094211344211</v>
      </c>
      <c r="AI4" s="3" t="str" cm="1">
        <f t="array" ref="AI4">IFERROR(AVERAGE(_xlfn._xlws.FILTER($C:$C,($F:$F=AI$1)*($B:$B=$I4))),"")</f>
        <v/>
      </c>
      <c r="AJ4" s="3" cm="1">
        <f t="array" ref="AJ4">IFERROR(AVERAGE(_xlfn._xlws.FILTER($C:$C,($F:$F=AJ$1)*($B:$B=$I4))),"")</f>
        <v>48.714285714285701</v>
      </c>
      <c r="AK4" s="3" cm="1">
        <f t="array" ref="AK4">IFERROR(AVERAGE(_xlfn._xlws.FILTER($C:$C,($F:$F=AK$1)*($B:$B=$I4))),"")</f>
        <v>53.630059397966399</v>
      </c>
      <c r="AL4" s="3" t="str" cm="1">
        <f t="array" ref="AL4">IFERROR(AVERAGE(_xlfn._xlws.FILTER($C:$C,($F:$F=AL$1)*($B:$B=$I4))),"")</f>
        <v/>
      </c>
      <c r="AM4" s="3" cm="1">
        <f t="array" ref="AM4">IFERROR(AVERAGE(_xlfn._xlws.FILTER($C:$C,($F:$F=AM$1)*($B:$B=$I4))),"")</f>
        <v>19.7530864197531</v>
      </c>
      <c r="AN4" s="3" t="str" cm="1">
        <f t="array" ref="AN4">IFERROR(AVERAGE(_xlfn._xlws.FILTER($C:$C,($F:$F=AN$1)*($B:$B=$I4))),"")</f>
        <v/>
      </c>
      <c r="AO4" s="3" cm="1">
        <f t="array" ref="AO4">IFERROR(AVERAGE(_xlfn._xlws.FILTER($C:$C,($F:$F=AO$1)*($B:$B=$I4))),"")</f>
        <v>24.6913580246914</v>
      </c>
      <c r="AP4" s="3" cm="1">
        <f t="array" ref="AP4">IFERROR(AVERAGE(_xlfn._xlws.FILTER($C:$C,($F:$F=AP$1)*($B:$B=$I4))),"")</f>
        <v>37.035914702581401</v>
      </c>
      <c r="AQ4" s="3" cm="1">
        <f t="array" ref="AQ4">IFERROR(AVERAGE(_xlfn._xlws.FILTER($C:$C,($F:$F=AQ$1)*($B:$B=$I4))),"")</f>
        <v>18.565932058931001</v>
      </c>
      <c r="AR4" s="3" cm="1">
        <f t="array" ref="AR4">IFERROR(AVERAGE(_xlfn._xlws.FILTER($C:$C,($F:$F=AR$1)*($B:$B=$I4))),"")</f>
        <v>27.9269547325103</v>
      </c>
      <c r="AS4" s="3" cm="1">
        <f t="array" ref="AS4">IFERROR(AVERAGE(_xlfn._xlws.FILTER($C:$C,($F:$F=AS$1)*($B:$B=$I4))),"")</f>
        <v>45.361597749577903</v>
      </c>
      <c r="AT4" s="3" cm="1">
        <f t="array" ref="AT4">IFERROR(AVERAGE(_xlfn._xlws.FILTER($C:$C,($F:$F=AT$1)*($B:$B=$I4))),"")</f>
        <v>23.458527069638201</v>
      </c>
      <c r="AU4" s="3" t="str" cm="1">
        <f t="array" ref="AU4">IFERROR(AVERAGE(_xlfn._xlws.FILTER($C:$C,($F:$F=AU$1)*($B:$B=$I4))),"")</f>
        <v/>
      </c>
      <c r="AV4" s="3" t="str" cm="1">
        <f t="array" ref="AV4">IFERROR(AVERAGE(_xlfn._xlws.FILTER($C:$C,($F:$F=AV$1)*($B:$B=$I4))),"")</f>
        <v/>
      </c>
      <c r="AW4" s="3" cm="1">
        <f t="array" ref="AW4">IFERROR(AVERAGE(_xlfn._xlws.FILTER($C:$C,($F:$F=AW$1)*($B:$B=$I4))),"")</f>
        <v>19.434846989141199</v>
      </c>
      <c r="AX4" s="3" cm="1">
        <f t="array" ref="AX4">IFERROR(AVERAGE(_xlfn._xlws.FILTER($C:$C,($F:$F=AX$1)*($B:$B=$I4))),"")</f>
        <v>50.511349463706701</v>
      </c>
      <c r="AY4" s="3" cm="1">
        <f t="array" ref="AY4">IFERROR(AVERAGE(_xlfn._xlws.FILTER($C:$C,($F:$F=AY$1)*($B:$B=$I4))),"")</f>
        <v>24.430915759969249</v>
      </c>
      <c r="AZ4" s="3" cm="1">
        <f t="array" ref="AZ4">IFERROR(AVERAGE(_xlfn._xlws.FILTER($C:$C,($F:$F=AZ$1)*($B:$B=$I4))),"")</f>
        <v>44.221136178226402</v>
      </c>
      <c r="BA4" s="3" cm="1">
        <f t="array" ref="BA4">IFERROR(AVERAGE(_xlfn._xlws.FILTER($C:$C,($F:$F=BA$1)*($B:$B=$I4))),"")</f>
        <v>37.3978272613288</v>
      </c>
      <c r="BB4" s="3" t="str" cm="1">
        <f t="array" ref="BB4">IFERROR(AVERAGE(_xlfn._xlws.FILTER($C:$C,($F:$F=BB$1)*($B:$B=$I4))),"")</f>
        <v/>
      </c>
      <c r="BC4" s="3" cm="1">
        <f t="array" ref="BC4">IFERROR(AVERAGE(_xlfn._xlws.FILTER($C:$C,($F:$F=BC$1)*($B:$B=$I4))),"")</f>
        <v>46.5277777777778</v>
      </c>
      <c r="BD4" s="3" cm="1">
        <f t="array" ref="BD4">IFERROR(AVERAGE(_xlfn._xlws.FILTER($C:$C,($F:$F=BD$1)*($B:$B=$I4))),"")</f>
        <v>22.948717948717949</v>
      </c>
      <c r="BE4" s="3" cm="1">
        <f t="array" ref="BE4">IFERROR(AVERAGE(_xlfn._xlws.FILTER($C:$C,($F:$F=BE$1)*($B:$B=$I4))),"")</f>
        <v>33.268312757201656</v>
      </c>
      <c r="BF4" s="3" t="str" cm="1">
        <f t="array" ref="BF4">IFERROR(AVERAGE(_xlfn._xlws.FILTER($C:$C,($F:$F=BF$1)*($B:$B=$I4))),"")</f>
        <v/>
      </c>
      <c r="BG4" s="3" cm="1">
        <f t="array" ref="BG4">IFERROR(AVERAGE(_xlfn._xlws.FILTER($C:$C,($F:$F=BG$1)*($B:$B=$I4))),"")</f>
        <v>48.128342245989302</v>
      </c>
      <c r="BH4" s="3" cm="1">
        <f t="array" ref="BH4">IFERROR(AVERAGE(_xlfn._xlws.FILTER($C:$C,($F:$F=BH$1)*($B:$B=$I4))),"")</f>
        <v>43.147345612134302</v>
      </c>
      <c r="BI4" s="3" cm="1">
        <f t="array" ref="BI4">IFERROR(AVERAGE(_xlfn._xlws.FILTER($C:$C,($F:$F=BI$1)*($B:$B=$I4))),"")</f>
        <v>32.250252429635196</v>
      </c>
      <c r="BJ4" s="3" cm="1">
        <f t="array" ref="BJ4">IFERROR(AVERAGE(_xlfn._xlws.FILTER($C:$C,($F:$F=BJ$1)*($B:$B=$I4))),"")</f>
        <v>45.692689264202201</v>
      </c>
      <c r="BK4" s="3" t="str" cm="1">
        <f t="array" ref="BK4">IFERROR(AVERAGE(_xlfn._xlws.FILTER($C:$C,($F:$F=BK$1)*($B:$B=$I4))),"")</f>
        <v/>
      </c>
      <c r="BL4" s="3" t="str" cm="1">
        <f t="array" ref="BL4">IFERROR(AVERAGE(_xlfn._xlws.FILTER($C:$C,($F:$F=BL$1)*($B:$B=$I4))),"")</f>
        <v/>
      </c>
      <c r="BM4" s="3" cm="1">
        <f t="array" ref="BM4">IFERROR(AVERAGE(_xlfn._xlws.FILTER($C:$C,($F:$F=BM$1)*($B:$B=$I4))),"")</f>
        <v>17.723515932250901</v>
      </c>
      <c r="BN4" s="3" cm="1">
        <f t="array" ref="BN4">IFERROR(AVERAGE(_xlfn._xlws.FILTER($C:$C,($F:$F=BN$1)*($B:$B=$I4))),"")</f>
        <v>60.210830004438499</v>
      </c>
      <c r="BO4" s="3" t="str" cm="1">
        <f t="array" ref="BO4">IFERROR(AVERAGE(_xlfn._xlws.FILTER($C:$C,($F:$F=BO$1)*($B:$B=$I4))),"")</f>
        <v/>
      </c>
      <c r="BP4" s="3" cm="1">
        <f t="array" ref="BP4">IFERROR(AVERAGE(_xlfn._xlws.FILTER($C:$C,($F:$F=BP$1)*($B:$B=$I4))),"")</f>
        <v>12.4463229309396</v>
      </c>
      <c r="BQ4" s="3" cm="1">
        <f t="array" ref="BQ4">IFERROR(AVERAGE(_xlfn._xlws.FILTER($C:$C,($F:$F=BQ$1)*($B:$B=$I4))),"")</f>
        <v>52.469135802469097</v>
      </c>
      <c r="BR4" s="3" cm="1">
        <f t="array" ref="BR4">IFERROR(AVERAGE(_xlfn._xlws.FILTER($C:$C,($F:$F=BR$1)*($B:$B=$I4))),"")</f>
        <v>43.1027253668763</v>
      </c>
      <c r="BS4" s="3" t="str" cm="1">
        <f t="array" ref="BS4">IFERROR(AVERAGE(_xlfn._xlws.FILTER($C:$C,($F:$F=BS$1)*($B:$B=$I4))),"")</f>
        <v/>
      </c>
      <c r="BT4" s="3" t="str" cm="1">
        <f t="array" ref="BT4">IFERROR(AVERAGE(_xlfn._xlws.FILTER($C:$C,($F:$F=BT$1)*($B:$B=$I4))),"")</f>
        <v/>
      </c>
      <c r="BU4" s="3" t="str" cm="1">
        <f t="array" ref="BU4">IFERROR(AVERAGE(_xlfn._xlws.FILTER($C:$C,($F:$F=BU$1)*($B:$B=$I4))),"")</f>
        <v/>
      </c>
      <c r="BV4" s="3" cm="1">
        <f t="array" ref="BV4">IFERROR(AVERAGE(_xlfn._xlws.FILTER($C:$C,($F:$F=BV$1)*($B:$B=$I4))),"")</f>
        <v>25.938830816879562</v>
      </c>
      <c r="BW4" s="3" t="str" cm="1">
        <f t="array" ref="BW4">IFERROR(AVERAGE(_xlfn._xlws.FILTER($C:$C,($F:$F=BW$1)*($B:$B=$I4))),"")</f>
        <v/>
      </c>
      <c r="BX4" s="3" t="str" cm="1">
        <f t="array" ref="BX4">IFERROR(AVERAGE(_xlfn._xlws.FILTER($C:$C,($F:$F=BX$1)*($B:$B=$I4))),"")</f>
        <v/>
      </c>
      <c r="BY4" s="3" t="str" cm="1">
        <f t="array" ref="BY4">IFERROR(AVERAGE(_xlfn._xlws.FILTER($C:$C,($F:$F=BY$1)*($B:$B=$I4))),"")</f>
        <v/>
      </c>
      <c r="BZ4" s="3" t="str" cm="1">
        <f t="array" ref="BZ4">IFERROR(AVERAGE(_xlfn._xlws.FILTER($C:$C,($F:$F=BZ$1)*($B:$B=$I4))),"")</f>
        <v/>
      </c>
      <c r="CA4" s="3" t="str" cm="1">
        <f t="array" ref="CA4">IFERROR(AVERAGE(_xlfn._xlws.FILTER($C:$C,($F:$F=CA$1)*($B:$B=$I4))),"")</f>
        <v/>
      </c>
      <c r="CB4" s="3" cm="1">
        <f t="array" ref="CB4">IFERROR(AVERAGE(_xlfn._xlws.FILTER($C:$C,($F:$F=CB$1)*($B:$B=$I4))),"")</f>
        <v>26.735118488725298</v>
      </c>
      <c r="CC4" s="3" cm="1">
        <f t="array" ref="CC4">IFERROR(AVERAGE(_xlfn._xlws.FILTER($C:$C,($F:$F=CC$1)*($B:$B=$I4))),"")</f>
        <v>55.964912280701732</v>
      </c>
      <c r="CD4" s="3" t="str" cm="1">
        <f t="array" ref="CD4">IFERROR(AVERAGE(_xlfn._xlws.FILTER($C:$C,($F:$F=CD$1)*($B:$B=$I4))),"")</f>
        <v/>
      </c>
      <c r="CE4" s="3" cm="1">
        <f t="array" ref="CE4">IFERROR(AVERAGE(_xlfn._xlws.FILTER($C:$C,($F:$F=CE$1)*($B:$B=$I4))),"")</f>
        <v>91.6666666666667</v>
      </c>
      <c r="CF4" s="3" cm="1">
        <f t="array" ref="CF4">IFERROR(AVERAGE(_xlfn._xlws.FILTER($C:$C,($F:$F=CF$1)*($B:$B=$I4))),"")</f>
        <v>14.032781220942599</v>
      </c>
      <c r="CG4" s="3" cm="1">
        <f t="array" ref="CG4">IFERROR(AVERAGE(_xlfn._xlws.FILTER($C:$C,($F:$F=CG$1)*($B:$B=$I4))),"")</f>
        <v>58.285409765672924</v>
      </c>
      <c r="CH4" s="3" cm="1">
        <f t="array" ref="CH4">IFERROR(AVERAGE(_xlfn._xlws.FILTER($C:$C,($F:$F=CH$1)*($B:$B=$I4))),"")</f>
        <v>83.3333333333333</v>
      </c>
      <c r="CI4" s="3" cm="1">
        <f t="array" ref="CI4">IFERROR(AVERAGE(_xlfn._xlws.FILTER($C:$C,($F:$F=CI$1)*($B:$B=$I4))),"")</f>
        <v>31.050475892649501</v>
      </c>
      <c r="CJ4" s="3" cm="1">
        <f t="array" ref="CJ4">IFERROR(AVERAGE(_xlfn._xlws.FILTER($C:$C,($F:$F=CJ$1)*($B:$B=$I4))),"")</f>
        <v>40</v>
      </c>
      <c r="CK4" s="3" t="str" cm="1">
        <f t="array" ref="CK4">IFERROR(AVERAGE(_xlfn._xlws.FILTER($C:$C,($F:$F=CK$1)*($B:$B=$I4))),"")</f>
        <v/>
      </c>
      <c r="CL4" s="3" cm="1">
        <f t="array" ref="CL4">IFERROR(AVERAGE(_xlfn._xlws.FILTER($C:$C,($F:$F=CL$1)*($B:$B=$I4))),"")</f>
        <v>28.32744636316065</v>
      </c>
      <c r="CM4" s="3" cm="1">
        <f t="array" ref="CM4">IFERROR(AVERAGE(_xlfn._xlws.FILTER($C:$C,($F:$F=CM$1)*($B:$B=$I4))),"")</f>
        <v>46.25</v>
      </c>
      <c r="CN4" s="3" cm="1">
        <f t="array" ref="CN4">IFERROR(AVERAGE(_xlfn._xlws.FILTER($C:$C,($F:$F=CN$1)*($B:$B=$I4))),"")</f>
        <v>67.834997439836144</v>
      </c>
      <c r="CO4" s="3" cm="1">
        <f t="array" ref="CO4">IFERROR(AVERAGE(_xlfn._xlws.FILTER($C:$C,($F:$F=CO$1)*($B:$B=$I4))),"")</f>
        <v>15.060894671621716</v>
      </c>
      <c r="CP4" s="3" cm="1">
        <f t="array" ref="CP4">IFERROR(AVERAGE(_xlfn._xlws.FILTER($C:$C,($F:$F=CP$1)*($B:$B=$I4))),"")</f>
        <v>26.848640728270329</v>
      </c>
      <c r="CQ4" s="3" cm="1">
        <f t="array" ref="CQ4">IFERROR(AVERAGE(_xlfn._xlws.FILTER($C:$C,($F:$F=CQ$1)*($B:$B=$I4))),"")</f>
        <v>100.68089743589699</v>
      </c>
      <c r="CR4" s="3" cm="1">
        <f t="array" ref="CR4">IFERROR(AVERAGE(_xlfn._xlws.FILTER($C:$C,($F:$F=CR$1)*($B:$B=$I4))),"")</f>
        <v>9.0805088316318301</v>
      </c>
      <c r="CS4" s="3" cm="1">
        <f t="array" ref="CS4">IFERROR(AVERAGE(_xlfn._xlws.FILTER($C:$C,($F:$F=CS$1)*($B:$B=$I4))),"")</f>
        <v>11.536801231010749</v>
      </c>
      <c r="CT4" s="3" cm="1">
        <f t="array" ref="CT4">IFERROR(AVERAGE(_xlfn._xlws.FILTER($C:$C,($F:$F=CT$1)*($B:$B=$I4))),"")</f>
        <v>49.930491428571443</v>
      </c>
      <c r="CU4" s="3" cm="1">
        <f t="array" ref="CU4">IFERROR(AVERAGE(_xlfn._xlws.FILTER($C:$C,($F:$F=CU$1)*($B:$B=$I4))),"")</f>
        <v>22.3200280628737</v>
      </c>
      <c r="CV4" s="3" cm="1">
        <f t="array" ref="CV4">IFERROR(AVERAGE(_xlfn._xlws.FILTER($C:$C,($F:$F=CV$1)*($B:$B=$I4))),"")</f>
        <v>34.500596302921899</v>
      </c>
      <c r="CW4" s="3" cm="1">
        <f t="array" ref="CW4">IFERROR(AVERAGE(_xlfn._xlws.FILTER($C:$C,($F:$F=CW$1)*($B:$B=$I4))),"")</f>
        <v>16.872427983539101</v>
      </c>
      <c r="CX4" s="3" cm="1">
        <f t="array" ref="CX4">IFERROR(AVERAGE(_xlfn._xlws.FILTER($C:$C,($F:$F=CX$1)*($B:$B=$I4))),"")</f>
        <v>33.086419753086403</v>
      </c>
      <c r="CY4" s="3" cm="1">
        <f t="array" ref="CY4">IFERROR(AVERAGE(_xlfn._xlws.FILTER($C:$C,($F:$F=CY$1)*($B:$B=$I4))),"")</f>
        <v>80.87418300653593</v>
      </c>
      <c r="CZ4" s="3" cm="1">
        <f t="array" ref="CZ4">IFERROR(AVERAGE(_xlfn._xlws.FILTER($C:$C,($F:$F=CZ$1)*($B:$B=$I4))),"")</f>
        <v>20.5813706768513</v>
      </c>
      <c r="DA4" s="3" cm="1">
        <f t="array" ref="DA4">IFERROR(AVERAGE(_xlfn._xlws.FILTER($C:$C,($F:$F=DA$1)*($B:$B=$I4))),"")</f>
        <v>41.854865527705037</v>
      </c>
      <c r="DB4" s="3" cm="1">
        <f t="array" ref="DB4">IFERROR(AVERAGE(_xlfn._xlws.FILTER($C:$C,($F:$F=DB$1)*($B:$B=$I4))),"")</f>
        <v>23.983956769247602</v>
      </c>
      <c r="DC4" s="3" t="str" cm="1">
        <f t="array" ref="DC4">IFERROR(AVERAGE(_xlfn._xlws.FILTER($C:$C,($F:$F=DC$1)*($B:$B=$I4))),"")</f>
        <v/>
      </c>
      <c r="DD4" s="3" t="str" cm="1">
        <f t="array" ref="DD4">IFERROR(AVERAGE(_xlfn._xlws.FILTER($C:$C,($F:$F=DD$1)*($B:$B=$I4))),"")</f>
        <v/>
      </c>
      <c r="DE4" s="3" cm="1">
        <f t="array" ref="DE4">IFERROR(AVERAGE(_xlfn._xlws.FILTER($C:$C,($F:$F=DE$1)*($B:$B=$I4))),"")</f>
        <v>27.06327372764785</v>
      </c>
      <c r="DF4" s="3" cm="1">
        <f t="array" ref="DF4">IFERROR(AVERAGE(_xlfn._xlws.FILTER($C:$C,($F:$F=DF$1)*($B:$B=$I4))),"")</f>
        <v>49.785223367697597</v>
      </c>
      <c r="DG4" s="3" cm="1">
        <f t="array" ref="DG4">IFERROR(AVERAGE(_xlfn._xlws.FILTER($C:$C,($F:$F=DG$1)*($B:$B=$I4))),"")</f>
        <v>26.818638954073101</v>
      </c>
      <c r="DH4" s="3" cm="1">
        <f t="array" ref="DH4">IFERROR(AVERAGE(_xlfn._xlws.FILTER($C:$C,($F:$F=DH$1)*($B:$B=$I4))),"")</f>
        <v>19.197542714532499</v>
      </c>
      <c r="DI4" s="3" cm="1">
        <f t="array" ref="DI4">IFERROR(AVERAGE(_xlfn._xlws.FILTER($C:$C,($F:$F=DI$1)*($B:$B=$I4))),"")</f>
        <v>21.865235398972398</v>
      </c>
      <c r="DJ4" s="3" t="str" cm="1">
        <f t="array" ref="DJ4">IFERROR(AVERAGE(_xlfn._xlws.FILTER($C:$C,($F:$F=DJ$1)*($B:$B=$I4))),"")</f>
        <v/>
      </c>
      <c r="DK4" s="3" t="str" cm="1">
        <f t="array" ref="DK4">IFERROR(AVERAGE(_xlfn._xlws.FILTER($C:$C,($F:$F=DK$1)*($B:$B=$I4))),"")</f>
        <v/>
      </c>
      <c r="DL4" s="3" cm="1">
        <f t="array" ref="DL4">IFERROR(AVERAGE(_xlfn._xlws.FILTER($C:$C,($F:$F=DL$1)*($B:$B=$I4))),"")</f>
        <v>24.970363553040698</v>
      </c>
      <c r="DM4" s="3" cm="1">
        <f t="array" ref="DM4">IFERROR(AVERAGE(_xlfn._xlws.FILTER($C:$C,($F:$F=DM$1)*($B:$B=$I4))),"")</f>
        <v>30.246561234464451</v>
      </c>
      <c r="DN4" s="3" t="str" cm="1">
        <f t="array" ref="DN4">IFERROR(AVERAGE(_xlfn._xlws.FILTER($C:$C,($F:$F=DN$1)*($B:$B=$I4))),"")</f>
        <v/>
      </c>
      <c r="DO4" s="3" cm="1">
        <f t="array" ref="DO4">IFERROR(AVERAGE(_xlfn._xlws.FILTER($C:$C,($F:$F=DO$1)*($B:$B=$I4))),"")</f>
        <v>12.467972256222</v>
      </c>
      <c r="DP4" s="3" cm="1">
        <f t="array" ref="DP4">IFERROR(AVERAGE(_xlfn._xlws.FILTER($C:$C,($F:$F=DP$1)*($B:$B=$I4))),"")</f>
        <v>72.627475022706648</v>
      </c>
      <c r="DQ4" s="3" cm="1">
        <f t="array" ref="DQ4">IFERROR(AVERAGE(_xlfn._xlws.FILTER($C:$C,($F:$F=DQ$1)*($B:$B=$I4))),"")</f>
        <v>32.275022803283697</v>
      </c>
      <c r="DR4" s="3" cm="1">
        <f t="array" ref="DR4">IFERROR(AVERAGE(_xlfn._xlws.FILTER($C:$C,($F:$F=DR$1)*($B:$B=$I4))),"")</f>
        <v>44.080687127976176</v>
      </c>
      <c r="DS4" s="3" cm="1">
        <f t="array" ref="DS4">IFERROR(AVERAGE(_xlfn._xlws.FILTER($C:$C,($F:$F=DS$1)*($B:$B=$I4))),"")</f>
        <v>36.817038697890695</v>
      </c>
      <c r="DT4" s="3" t="str" cm="1">
        <f t="array" ref="DT4">IFERROR(AVERAGE(_xlfn._xlws.FILTER($C:$C,($F:$F=DT$1)*($B:$B=$I4))),"")</f>
        <v/>
      </c>
      <c r="DU4" s="3" cm="1">
        <f t="array" ref="DU4">IFERROR(AVERAGE(_xlfn._xlws.FILTER($C:$C,($F:$F=DU$1)*($B:$B=$I4))),"")</f>
        <v>40.052170506797196</v>
      </c>
      <c r="DV4" s="3" cm="1">
        <f t="array" ref="DV4">IFERROR(AVERAGE(_xlfn._xlws.FILTER($C:$C,($F:$F=DV$1)*($B:$B=$I4))),"")</f>
        <v>14.81767918998135</v>
      </c>
      <c r="DW4" s="3" t="str" cm="1">
        <f t="array" ref="DW4">IFERROR(AVERAGE(_xlfn._xlws.FILTER($C:$C,($F:$F=DW$1)*($B:$B=$I4))),"")</f>
        <v/>
      </c>
      <c r="DX4" s="3"/>
      <c r="DZ4">
        <f t="shared" si="0"/>
        <v>100.68089743589699</v>
      </c>
      <c r="EA4" t="str" cm="1">
        <f t="array" ref="EA4">INDEX($J$1:$DW$1,0,MATCH(DZ4,J4:JDW4,0))</f>
        <v>Qatar</v>
      </c>
      <c r="ED4">
        <f t="shared" si="1"/>
        <v>9.0805088316318301</v>
      </c>
      <c r="EE4" t="str" cm="1">
        <f t="array" ref="EE4">INDEX($J$1:$DW$1,0,MATCH(ED4,J4:JDW4,0))</f>
        <v>Romania</v>
      </c>
    </row>
    <row r="5" spans="1:135" x14ac:dyDescent="0.2">
      <c r="A5">
        <v>27993271</v>
      </c>
      <c r="B5">
        <v>2017</v>
      </c>
      <c r="C5">
        <v>37.085759068517703</v>
      </c>
      <c r="D5" t="s">
        <v>130</v>
      </c>
      <c r="E5" t="s">
        <v>55</v>
      </c>
      <c r="F5" t="s">
        <v>7</v>
      </c>
      <c r="I5" s="2">
        <v>2013</v>
      </c>
      <c r="J5" s="3" cm="1">
        <f t="array" ref="J5">IFERROR(AVERAGE(_xlfn._xlws.FILTER($C:$C,($F:$F=J$1)*($B:$B=$I5))),"")</f>
        <v>22.4740495296723</v>
      </c>
      <c r="K5" s="3" cm="1">
        <f t="array" ref="K5">IFERROR(AVERAGE(_xlfn._xlws.FILTER($C:$C,($F:$F=K$1)*($B:$B=$I5))),"")</f>
        <v>34.263959390862901</v>
      </c>
      <c r="L5" s="3" cm="1">
        <f t="array" ref="L5">IFERROR(AVERAGE(_xlfn._xlws.FILTER($C:$C,($F:$F=L$1)*($B:$B=$I5))),"")</f>
        <v>34.451896551724097</v>
      </c>
      <c r="M5" s="3" cm="1">
        <f t="array" ref="M5">IFERROR(AVERAGE(_xlfn._xlws.FILTER($C:$C,($F:$F=M$1)*($B:$B=$I5))),"")</f>
        <v>20.498809238813301</v>
      </c>
      <c r="N5" s="3" cm="1">
        <f t="array" ref="N5">IFERROR(AVERAGE(_xlfn._xlws.FILTER($C:$C,($F:$F=N$1)*($B:$B=$I5))),"")</f>
        <v>67.628863324175796</v>
      </c>
      <c r="O5" s="3" cm="1">
        <f t="array" ref="O5">IFERROR(AVERAGE(_xlfn._xlws.FILTER($C:$C,($F:$F=O$1)*($B:$B=$I5))),"")</f>
        <v>27.625231910946201</v>
      </c>
      <c r="P5" s="3" cm="1">
        <f t="array" ref="P5">IFERROR(AVERAGE(_xlfn._xlws.FILTER($C:$C,($F:$F=P$1)*($B:$B=$I5))),"")</f>
        <v>34.170541492387898</v>
      </c>
      <c r="Q5" s="3" cm="1">
        <f t="array" ref="Q5">IFERROR(AVERAGE(_xlfn._xlws.FILTER($C:$C,($F:$F=Q$1)*($B:$B=$I5))),"")</f>
        <v>51.351351351351397</v>
      </c>
      <c r="R5" s="3" cm="1">
        <f t="array" ref="R5">IFERROR(AVERAGE(_xlfn._xlws.FILTER($C:$C,($F:$F=R$1)*($B:$B=$I5))),"")</f>
        <v>40.591855440617998</v>
      </c>
      <c r="S5" s="3" cm="1">
        <f t="array" ref="S5">IFERROR(AVERAGE(_xlfn._xlws.FILTER($C:$C,($F:$F=S$1)*($B:$B=$I5))),"")</f>
        <v>18.890597539210301</v>
      </c>
      <c r="T5" s="3" cm="1">
        <f t="array" ref="T5">IFERROR(AVERAGE(_xlfn._xlws.FILTER($C:$C,($F:$F=T$1)*($B:$B=$I5))),"")</f>
        <v>39.716646989374254</v>
      </c>
      <c r="U5" s="3" t="str" cm="1">
        <f t="array" ref="U5">IFERROR(AVERAGE(_xlfn._xlws.FILTER($C:$C,($F:$F=U$1)*($B:$B=$I5))),"")</f>
        <v/>
      </c>
      <c r="V5" s="3" cm="1">
        <f t="array" ref="V5">IFERROR(AVERAGE(_xlfn._xlws.FILTER($C:$C,($F:$F=V$1)*($B:$B=$I5))),"")</f>
        <v>19.793912186738403</v>
      </c>
      <c r="W5" s="3" t="str" cm="1">
        <f t="array" ref="W5">IFERROR(AVERAGE(_xlfn._xlws.FILTER($C:$C,($F:$F=W$1)*($B:$B=$I5))),"")</f>
        <v/>
      </c>
      <c r="X5" s="3" cm="1">
        <f t="array" ref="X5">IFERROR(AVERAGE(_xlfn._xlws.FILTER($C:$C,($F:$F=X$1)*($B:$B=$I5))),"")</f>
        <v>39.761432752086954</v>
      </c>
      <c r="Y5" s="3" t="str" cm="1">
        <f t="array" ref="Y5">IFERROR(AVERAGE(_xlfn._xlws.FILTER($C:$C,($F:$F=Y$1)*($B:$B=$I5))),"")</f>
        <v/>
      </c>
      <c r="Z5" s="3" cm="1">
        <f t="array" ref="Z5">IFERROR(AVERAGE(_xlfn._xlws.FILTER($C:$C,($F:$F=Z$1)*($B:$B=$I5))),"")</f>
        <v>9.9470588235294244</v>
      </c>
      <c r="AA5" s="3" cm="1">
        <f t="array" ref="AA5">IFERROR(AVERAGE(_xlfn._xlws.FILTER($C:$C,($F:$F=AA$1)*($B:$B=$I5))),"")</f>
        <v>86.25</v>
      </c>
      <c r="AB5" s="3" cm="1">
        <f t="array" ref="AB5">IFERROR(AVERAGE(_xlfn._xlws.FILTER($C:$C,($F:$F=AB$1)*($B:$B=$I5))),"")</f>
        <v>49.129793504461951</v>
      </c>
      <c r="AC5" s="3" cm="1">
        <f t="array" ref="AC5">IFERROR(AVERAGE(_xlfn._xlws.FILTER($C:$C,($F:$F=AC$1)*($B:$B=$I5))),"")</f>
        <v>36.615405099527301</v>
      </c>
      <c r="AD5" s="3" cm="1">
        <f t="array" ref="AD5">IFERROR(AVERAGE(_xlfn._xlws.FILTER($C:$C,($F:$F=AD$1)*($B:$B=$I5))),"")</f>
        <v>31.237418902332102</v>
      </c>
      <c r="AE5" s="3" t="str" cm="1">
        <f t="array" ref="AE5">IFERROR(AVERAGE(_xlfn._xlws.FILTER($C:$C,($F:$F=AE$1)*($B:$B=$I5))),"")</f>
        <v/>
      </c>
      <c r="AF5" s="3" cm="1">
        <f t="array" ref="AF5">IFERROR(AVERAGE(_xlfn._xlws.FILTER($C:$C,($F:$F=AF$1)*($B:$B=$I5))),"")</f>
        <v>26.329185520361996</v>
      </c>
      <c r="AG5" s="3" cm="1">
        <f t="array" ref="AG5">IFERROR(AVERAGE(_xlfn._xlws.FILTER($C:$C,($F:$F=AG$1)*($B:$B=$I5))),"")</f>
        <v>42.135642135642101</v>
      </c>
      <c r="AH5" s="3" cm="1">
        <f t="array" ref="AH5">IFERROR(AVERAGE(_xlfn._xlws.FILTER($C:$C,($F:$F=AH$1)*($B:$B=$I5))),"")</f>
        <v>20.53782505910165</v>
      </c>
      <c r="AI5" s="3" cm="1">
        <f t="array" ref="AI5">IFERROR(AVERAGE(_xlfn._xlws.FILTER($C:$C,($F:$F=AI$1)*($B:$B=$I5))),"")</f>
        <v>72.677999507267799</v>
      </c>
      <c r="AJ5" s="3" cm="1">
        <f t="array" ref="AJ5">IFERROR(AVERAGE(_xlfn._xlws.FILTER($C:$C,($F:$F=AJ$1)*($B:$B=$I5))),"")</f>
        <v>60</v>
      </c>
      <c r="AK5" s="3" cm="1">
        <f t="array" ref="AK5">IFERROR(AVERAGE(_xlfn._xlws.FILTER($C:$C,($F:$F=AK$1)*($B:$B=$I5))),"")</f>
        <v>54.039301310043655</v>
      </c>
      <c r="AL5" s="3" t="str" cm="1">
        <f t="array" ref="AL5">IFERROR(AVERAGE(_xlfn._xlws.FILTER($C:$C,($F:$F=AL$1)*($B:$B=$I5))),"")</f>
        <v/>
      </c>
      <c r="AM5" s="3" t="str" cm="1">
        <f t="array" ref="AM5">IFERROR(AVERAGE(_xlfn._xlws.FILTER($C:$C,($F:$F=AM$1)*($B:$B=$I5))),"")</f>
        <v/>
      </c>
      <c r="AN5" s="3" t="str" cm="1">
        <f t="array" ref="AN5">IFERROR(AVERAGE(_xlfn._xlws.FILTER($C:$C,($F:$F=AN$1)*($B:$B=$I5))),"")</f>
        <v/>
      </c>
      <c r="AO5" s="3" cm="1">
        <f t="array" ref="AO5">IFERROR(AVERAGE(_xlfn._xlws.FILTER($C:$C,($F:$F=AO$1)*($B:$B=$I5))),"")</f>
        <v>27.05627705627705</v>
      </c>
      <c r="AP5" s="3" cm="1">
        <f t="array" ref="AP5">IFERROR(AVERAGE(_xlfn._xlws.FILTER($C:$C,($F:$F=AP$1)*($B:$B=$I5))),"")</f>
        <v>37.425029515938597</v>
      </c>
      <c r="AQ5" s="3" cm="1">
        <f t="array" ref="AQ5">IFERROR(AVERAGE(_xlfn._xlws.FILTER($C:$C,($F:$F=AQ$1)*($B:$B=$I5))),"")</f>
        <v>15.799446069422499</v>
      </c>
      <c r="AR5" s="3" cm="1">
        <f t="array" ref="AR5">IFERROR(AVERAGE(_xlfn._xlws.FILTER($C:$C,($F:$F=AR$1)*($B:$B=$I5))),"")</f>
        <v>31.846165739022883</v>
      </c>
      <c r="AS5" s="3" t="str" cm="1">
        <f t="array" ref="AS5">IFERROR(AVERAGE(_xlfn._xlws.FILTER($C:$C,($F:$F=AS$1)*($B:$B=$I5))),"")</f>
        <v/>
      </c>
      <c r="AT5" s="3" cm="1">
        <f t="array" ref="AT5">IFERROR(AVERAGE(_xlfn._xlws.FILTER($C:$C,($F:$F=AT$1)*($B:$B=$I5))),"")</f>
        <v>23.958874458874448</v>
      </c>
      <c r="AU5" s="3" t="str" cm="1">
        <f t="array" ref="AU5">IFERROR(AVERAGE(_xlfn._xlws.FILTER($C:$C,($F:$F=AU$1)*($B:$B=$I5))),"")</f>
        <v/>
      </c>
      <c r="AV5" s="3" t="str" cm="1">
        <f t="array" ref="AV5">IFERROR(AVERAGE(_xlfn._xlws.FILTER($C:$C,($F:$F=AV$1)*($B:$B=$I5))),"")</f>
        <v/>
      </c>
      <c r="AW5" s="3" cm="1">
        <f t="array" ref="AW5">IFERROR(AVERAGE(_xlfn._xlws.FILTER($C:$C,($F:$F=AW$1)*($B:$B=$I5))),"")</f>
        <v>16.2961503087636</v>
      </c>
      <c r="AX5" s="3" t="str" cm="1">
        <f t="array" ref="AX5">IFERROR(AVERAGE(_xlfn._xlws.FILTER($C:$C,($F:$F=AX$1)*($B:$B=$I5))),"")</f>
        <v/>
      </c>
      <c r="AY5" s="3" cm="1">
        <f t="array" ref="AY5">IFERROR(AVERAGE(_xlfn._xlws.FILTER($C:$C,($F:$F=AY$1)*($B:$B=$I5))),"")</f>
        <v>25.200571928496565</v>
      </c>
      <c r="AZ5" s="3" cm="1">
        <f t="array" ref="AZ5">IFERROR(AVERAGE(_xlfn._xlws.FILTER($C:$C,($F:$F=AZ$1)*($B:$B=$I5))),"")</f>
        <v>46.557028527039904</v>
      </c>
      <c r="BA5" s="3" cm="1">
        <f t="array" ref="BA5">IFERROR(AVERAGE(_xlfn._xlws.FILTER($C:$C,($F:$F=BA$1)*($B:$B=$I5))),"")</f>
        <v>49.543255859348101</v>
      </c>
      <c r="BB5" s="3" t="str" cm="1">
        <f t="array" ref="BB5">IFERROR(AVERAGE(_xlfn._xlws.FILTER($C:$C,($F:$F=BB$1)*($B:$B=$I5))),"")</f>
        <v/>
      </c>
      <c r="BC5" s="3" cm="1">
        <f t="array" ref="BC5">IFERROR(AVERAGE(_xlfn._xlws.FILTER($C:$C,($F:$F=BC$1)*($B:$B=$I5))),"")</f>
        <v>42.665429808286945</v>
      </c>
      <c r="BD5" s="3" cm="1">
        <f t="array" ref="BD5">IFERROR(AVERAGE(_xlfn._xlws.FILTER($C:$C,($F:$F=BD$1)*($B:$B=$I5))),"")</f>
        <v>24.456521739130402</v>
      </c>
      <c r="BE5" s="3" cm="1">
        <f t="array" ref="BE5">IFERROR(AVERAGE(_xlfn._xlws.FILTER($C:$C,($F:$F=BE$1)*($B:$B=$I5))),"")</f>
        <v>33.397284533648147</v>
      </c>
      <c r="BF5" s="3" cm="1">
        <f t="array" ref="BF5">IFERROR(AVERAGE(_xlfn._xlws.FILTER($C:$C,($F:$F=BF$1)*($B:$B=$I5))),"")</f>
        <v>30.5338809034908</v>
      </c>
      <c r="BG5" s="3" cm="1">
        <f t="array" ref="BG5">IFERROR(AVERAGE(_xlfn._xlws.FILTER($C:$C,($F:$F=BG$1)*($B:$B=$I5))),"")</f>
        <v>35.370124053313098</v>
      </c>
      <c r="BH5" s="3" cm="1">
        <f t="array" ref="BH5">IFERROR(AVERAGE(_xlfn._xlws.FILTER($C:$C,($F:$F=BH$1)*($B:$B=$I5))),"")</f>
        <v>44.953051643192502</v>
      </c>
      <c r="BI5" s="3" cm="1">
        <f t="array" ref="BI5">IFERROR(AVERAGE(_xlfn._xlws.FILTER($C:$C,($F:$F=BI$1)*($B:$B=$I5))),"")</f>
        <v>27.827346004160201</v>
      </c>
      <c r="BJ5" s="3" cm="1">
        <f t="array" ref="BJ5">IFERROR(AVERAGE(_xlfn._xlws.FILTER($C:$C,($F:$F=BJ$1)*($B:$B=$I5))),"")</f>
        <v>43.8544033807758</v>
      </c>
      <c r="BK5" s="3" cm="1">
        <f t="array" ref="BK5">IFERROR(AVERAGE(_xlfn._xlws.FILTER($C:$C,($F:$F=BK$1)*($B:$B=$I5))),"")</f>
        <v>66.6666666666667</v>
      </c>
      <c r="BL5" s="3" t="str" cm="1">
        <f t="array" ref="BL5">IFERROR(AVERAGE(_xlfn._xlws.FILTER($C:$C,($F:$F=BL$1)*($B:$B=$I5))),"")</f>
        <v/>
      </c>
      <c r="BM5" s="3" cm="1">
        <f t="array" ref="BM5">IFERROR(AVERAGE(_xlfn._xlws.FILTER($C:$C,($F:$F=BM$1)*($B:$B=$I5))),"")</f>
        <v>18.093234322227499</v>
      </c>
      <c r="BN5" s="3" cm="1">
        <f t="array" ref="BN5">IFERROR(AVERAGE(_xlfn._xlws.FILTER($C:$C,($F:$F=BN$1)*($B:$B=$I5))),"")</f>
        <v>66.546813584709497</v>
      </c>
      <c r="BO5" s="3" cm="1">
        <f t="array" ref="BO5">IFERROR(AVERAGE(_xlfn._xlws.FILTER($C:$C,($F:$F=BO$1)*($B:$B=$I5))),"")</f>
        <v>21.1640211640212</v>
      </c>
      <c r="BP5" s="3" cm="1">
        <f t="array" ref="BP5">IFERROR(AVERAGE(_xlfn._xlws.FILTER($C:$C,($F:$F=BP$1)*($B:$B=$I5))),"")</f>
        <v>11.6444829206209</v>
      </c>
      <c r="BQ5" s="3" t="str" cm="1">
        <f t="array" ref="BQ5">IFERROR(AVERAGE(_xlfn._xlws.FILTER($C:$C,($F:$F=BQ$1)*($B:$B=$I5))),"")</f>
        <v/>
      </c>
      <c r="BR5" s="3" cm="1">
        <f t="array" ref="BR5">IFERROR(AVERAGE(_xlfn._xlws.FILTER($C:$C,($F:$F=BR$1)*($B:$B=$I5))),"")</f>
        <v>48.28634085213033</v>
      </c>
      <c r="BS5" s="3" t="str" cm="1">
        <f t="array" ref="BS5">IFERROR(AVERAGE(_xlfn._xlws.FILTER($C:$C,($F:$F=BS$1)*($B:$B=$I5))),"")</f>
        <v/>
      </c>
      <c r="BT5" s="3" t="str" cm="1">
        <f t="array" ref="BT5">IFERROR(AVERAGE(_xlfn._xlws.FILTER($C:$C,($F:$F=BT$1)*($B:$B=$I5))),"")</f>
        <v/>
      </c>
      <c r="BU5" s="3" t="str" cm="1">
        <f t="array" ref="BU5">IFERROR(AVERAGE(_xlfn._xlws.FILTER($C:$C,($F:$F=BU$1)*($B:$B=$I5))),"")</f>
        <v/>
      </c>
      <c r="BV5" s="3" cm="1">
        <f t="array" ref="BV5">IFERROR(AVERAGE(_xlfn._xlws.FILTER($C:$C,($F:$F=BV$1)*($B:$B=$I5))),"")</f>
        <v>32.228017883755577</v>
      </c>
      <c r="BW5" s="3" cm="1">
        <f t="array" ref="BW5">IFERROR(AVERAGE(_xlfn._xlws.FILTER($C:$C,($F:$F=BW$1)*($B:$B=$I5))),"")</f>
        <v>36.385161135657199</v>
      </c>
      <c r="BX5" s="3" t="str" cm="1">
        <f t="array" ref="BX5">IFERROR(AVERAGE(_xlfn._xlws.FILTER($C:$C,($F:$F=BX$1)*($B:$B=$I5))),"")</f>
        <v/>
      </c>
      <c r="BY5" s="3" t="str" cm="1">
        <f t="array" ref="BY5">IFERROR(AVERAGE(_xlfn._xlws.FILTER($C:$C,($F:$F=BY$1)*($B:$B=$I5))),"")</f>
        <v/>
      </c>
      <c r="BZ5" s="3" t="str" cm="1">
        <f t="array" ref="BZ5">IFERROR(AVERAGE(_xlfn._xlws.FILTER($C:$C,($F:$F=BZ$1)*($B:$B=$I5))),"")</f>
        <v/>
      </c>
      <c r="CA5" s="3" t="str" cm="1">
        <f t="array" ref="CA5">IFERROR(AVERAGE(_xlfn._xlws.FILTER($C:$C,($F:$F=CA$1)*($B:$B=$I5))),"")</f>
        <v/>
      </c>
      <c r="CB5" s="3" cm="1">
        <f t="array" ref="CB5">IFERROR(AVERAGE(_xlfn._xlws.FILTER($C:$C,($F:$F=CB$1)*($B:$B=$I5))),"")</f>
        <v>29.290336978353</v>
      </c>
      <c r="CC5" s="3" cm="1">
        <f t="array" ref="CC5">IFERROR(AVERAGE(_xlfn._xlws.FILTER($C:$C,($F:$F=CC$1)*($B:$B=$I5))),"")</f>
        <v>78.392592592592607</v>
      </c>
      <c r="CD5" s="3" t="str" cm="1">
        <f t="array" ref="CD5">IFERROR(AVERAGE(_xlfn._xlws.FILTER($C:$C,($F:$F=CD$1)*($B:$B=$I5))),"")</f>
        <v/>
      </c>
      <c r="CE5" s="3" cm="1">
        <f t="array" ref="CE5">IFERROR(AVERAGE(_xlfn._xlws.FILTER($C:$C,($F:$F=CE$1)*($B:$B=$I5))),"")</f>
        <v>79.1156157119336</v>
      </c>
      <c r="CF5" s="3" cm="1">
        <f t="array" ref="CF5">IFERROR(AVERAGE(_xlfn._xlws.FILTER($C:$C,($F:$F=CF$1)*($B:$B=$I5))),"")</f>
        <v>15.3053228707948</v>
      </c>
      <c r="CG5" s="3" cm="1">
        <f t="array" ref="CG5">IFERROR(AVERAGE(_xlfn._xlws.FILTER($C:$C,($F:$F=CG$1)*($B:$B=$I5))),"")</f>
        <v>55.240528920256352</v>
      </c>
      <c r="CH5" s="3" cm="1">
        <f t="array" ref="CH5">IFERROR(AVERAGE(_xlfn._xlws.FILTER($C:$C,($F:$F=CH$1)*($B:$B=$I5))),"")</f>
        <v>63.596491228070199</v>
      </c>
      <c r="CI5" s="3" cm="1">
        <f t="array" ref="CI5">IFERROR(AVERAGE(_xlfn._xlws.FILTER($C:$C,($F:$F=CI$1)*($B:$B=$I5))),"")</f>
        <v>31.694477381553249</v>
      </c>
      <c r="CJ5" s="3" cm="1">
        <f t="array" ref="CJ5">IFERROR(AVERAGE(_xlfn._xlws.FILTER($C:$C,($F:$F=CJ$1)*($B:$B=$I5))),"")</f>
        <v>38.996666666666698</v>
      </c>
      <c r="CK5" s="3" t="str" cm="1">
        <f t="array" ref="CK5">IFERROR(AVERAGE(_xlfn._xlws.FILTER($C:$C,($F:$F=CK$1)*($B:$B=$I5))),"")</f>
        <v/>
      </c>
      <c r="CL5" s="3" cm="1">
        <f t="array" ref="CL5">IFERROR(AVERAGE(_xlfn._xlws.FILTER($C:$C,($F:$F=CL$1)*($B:$B=$I5))),"")</f>
        <v>19.838338132455775</v>
      </c>
      <c r="CM5" s="3" cm="1">
        <f t="array" ref="CM5">IFERROR(AVERAGE(_xlfn._xlws.FILTER($C:$C,($F:$F=CM$1)*($B:$B=$I5))),"")</f>
        <v>60.323383084577102</v>
      </c>
      <c r="CN5" s="3" cm="1">
        <f t="array" ref="CN5">IFERROR(AVERAGE(_xlfn._xlws.FILTER($C:$C,($F:$F=CN$1)*($B:$B=$I5))),"")</f>
        <v>57.615966120478106</v>
      </c>
      <c r="CO5" s="3" cm="1">
        <f t="array" ref="CO5">IFERROR(AVERAGE(_xlfn._xlws.FILTER($C:$C,($F:$F=CO$1)*($B:$B=$I5))),"")</f>
        <v>14.974641559530843</v>
      </c>
      <c r="CP5" s="3" cm="1">
        <f t="array" ref="CP5">IFERROR(AVERAGE(_xlfn._xlws.FILTER($C:$C,($F:$F=CP$1)*($B:$B=$I5))),"")</f>
        <v>28.354978354978368</v>
      </c>
      <c r="CQ5" s="3" cm="1">
        <f t="array" ref="CQ5">IFERROR(AVERAGE(_xlfn._xlws.FILTER($C:$C,($F:$F=CQ$1)*($B:$B=$I5))),"")</f>
        <v>91.5227629513344</v>
      </c>
      <c r="CR5" s="3" cm="1">
        <f t="array" ref="CR5">IFERROR(AVERAGE(_xlfn._xlws.FILTER($C:$C,($F:$F=CR$1)*($B:$B=$I5))),"")</f>
        <v>9.4996894327515999</v>
      </c>
      <c r="CS5" s="3" cm="1">
        <f t="array" ref="CS5">IFERROR(AVERAGE(_xlfn._xlws.FILTER($C:$C,($F:$F=CS$1)*($B:$B=$I5))),"")</f>
        <v>12.003351471117575</v>
      </c>
      <c r="CT5" s="3" cm="1">
        <f t="array" ref="CT5">IFERROR(AVERAGE(_xlfn._xlws.FILTER($C:$C,($F:$F=CT$1)*($B:$B=$I5))),"")</f>
        <v>61.985185185185202</v>
      </c>
      <c r="CU5" s="3" cm="1">
        <f t="array" ref="CU5">IFERROR(AVERAGE(_xlfn._xlws.FILTER($C:$C,($F:$F=CU$1)*($B:$B=$I5))),"")</f>
        <v>21.025517749778402</v>
      </c>
      <c r="CV5" s="3" cm="1">
        <f t="array" ref="CV5">IFERROR(AVERAGE(_xlfn._xlws.FILTER($C:$C,($F:$F=CV$1)*($B:$B=$I5))),"")</f>
        <v>32.176527176527202</v>
      </c>
      <c r="CW5" s="3" cm="1">
        <f t="array" ref="CW5">IFERROR(AVERAGE(_xlfn._xlws.FILTER($C:$C,($F:$F=CW$1)*($B:$B=$I5))),"")</f>
        <v>15.464285714285699</v>
      </c>
      <c r="CX5" s="3" cm="1">
        <f t="array" ref="CX5">IFERROR(AVERAGE(_xlfn._xlws.FILTER($C:$C,($F:$F=CX$1)*($B:$B=$I5))),"")</f>
        <v>34.285714285714299</v>
      </c>
      <c r="CY5" s="3" cm="1">
        <f t="array" ref="CY5">IFERROR(AVERAGE(_xlfn._xlws.FILTER($C:$C,($F:$F=CY$1)*($B:$B=$I5))),"")</f>
        <v>61.069002650762101</v>
      </c>
      <c r="CZ5" s="3" cm="1">
        <f t="array" ref="CZ5">IFERROR(AVERAGE(_xlfn._xlws.FILTER($C:$C,($F:$F=CZ$1)*($B:$B=$I5))),"")</f>
        <v>26.182737450343101</v>
      </c>
      <c r="DA5" s="3" cm="1">
        <f t="array" ref="DA5">IFERROR(AVERAGE(_xlfn._xlws.FILTER($C:$C,($F:$F=DA$1)*($B:$B=$I5))),"")</f>
        <v>43.58540764790763</v>
      </c>
      <c r="DB5" s="3" cm="1">
        <f t="array" ref="DB5">IFERROR(AVERAGE(_xlfn._xlws.FILTER($C:$C,($F:$F=DB$1)*($B:$B=$I5))),"")</f>
        <v>19.220984792809102</v>
      </c>
      <c r="DC5" s="3" t="str" cm="1">
        <f t="array" ref="DC5">IFERROR(AVERAGE(_xlfn._xlws.FILTER($C:$C,($F:$F=DC$1)*($B:$B=$I5))),"")</f>
        <v/>
      </c>
      <c r="DD5" s="3" t="str" cm="1">
        <f t="array" ref="DD5">IFERROR(AVERAGE(_xlfn._xlws.FILTER($C:$C,($F:$F=DD$1)*($B:$B=$I5))),"")</f>
        <v/>
      </c>
      <c r="DE5" s="3" cm="1">
        <f t="array" ref="DE5">IFERROR(AVERAGE(_xlfn._xlws.FILTER($C:$C,($F:$F=DE$1)*($B:$B=$I5))),"")</f>
        <v>31.101040617656899</v>
      </c>
      <c r="DF5" s="3" cm="1">
        <f t="array" ref="DF5">IFERROR(AVERAGE(_xlfn._xlws.FILTER($C:$C,($F:$F=DF$1)*($B:$B=$I5))),"")</f>
        <v>52.886904761904773</v>
      </c>
      <c r="DG5" s="3" cm="1">
        <f t="array" ref="DG5">IFERROR(AVERAGE(_xlfn._xlws.FILTER($C:$C,($F:$F=DG$1)*($B:$B=$I5))),"")</f>
        <v>38.579720040969605</v>
      </c>
      <c r="DH5" s="3" cm="1">
        <f t="array" ref="DH5">IFERROR(AVERAGE(_xlfn._xlws.FILTER($C:$C,($F:$F=DH$1)*($B:$B=$I5))),"")</f>
        <v>85.560290799699203</v>
      </c>
      <c r="DI5" s="3" cm="1">
        <f t="array" ref="DI5">IFERROR(AVERAGE(_xlfn._xlws.FILTER($C:$C,($F:$F=DI$1)*($B:$B=$I5))),"")</f>
        <v>21.347039658465349</v>
      </c>
      <c r="DJ5" s="3" t="str" cm="1">
        <f t="array" ref="DJ5">IFERROR(AVERAGE(_xlfn._xlws.FILTER($C:$C,($F:$F=DJ$1)*($B:$B=$I5))),"")</f>
        <v/>
      </c>
      <c r="DK5" s="3" cm="1">
        <f t="array" ref="DK5">IFERROR(AVERAGE(_xlfn._xlws.FILTER($C:$C,($F:$F=DK$1)*($B:$B=$I5))),"")</f>
        <v>42.260961436872698</v>
      </c>
      <c r="DL5" s="3" cm="1">
        <f t="array" ref="DL5">IFERROR(AVERAGE(_xlfn._xlws.FILTER($C:$C,($F:$F=DL$1)*($B:$B=$I5))),"")</f>
        <v>22.967791411042899</v>
      </c>
      <c r="DM5" s="3" cm="1">
        <f t="array" ref="DM5">IFERROR(AVERAGE(_xlfn._xlws.FILTER($C:$C,($F:$F=DM$1)*($B:$B=$I5))),"")</f>
        <v>29.662698412698401</v>
      </c>
      <c r="DN5" s="3" t="str" cm="1">
        <f t="array" ref="DN5">IFERROR(AVERAGE(_xlfn._xlws.FILTER($C:$C,($F:$F=DN$1)*($B:$B=$I5))),"")</f>
        <v/>
      </c>
      <c r="DO5" s="3" cm="1">
        <f t="array" ref="DO5">IFERROR(AVERAGE(_xlfn._xlws.FILTER($C:$C,($F:$F=DO$1)*($B:$B=$I5))),"")</f>
        <v>7.8216987976782804</v>
      </c>
      <c r="DP5" s="3" cm="1">
        <f t="array" ref="DP5">IFERROR(AVERAGE(_xlfn._xlws.FILTER($C:$C,($F:$F=DP$1)*($B:$B=$I5))),"")</f>
        <v>74.083103611283732</v>
      </c>
      <c r="DQ5" s="3" cm="1">
        <f t="array" ref="DQ5">IFERROR(AVERAGE(_xlfn._xlws.FILTER($C:$C,($F:$F=DQ$1)*($B:$B=$I5))),"")</f>
        <v>30.22727272727273</v>
      </c>
      <c r="DR5" s="3" cm="1">
        <f t="array" ref="DR5">IFERROR(AVERAGE(_xlfn._xlws.FILTER($C:$C,($F:$F=DR$1)*($B:$B=$I5))),"")</f>
        <v>47.285912698412702</v>
      </c>
      <c r="DS5" s="3" cm="1">
        <f t="array" ref="DS5">IFERROR(AVERAGE(_xlfn._xlws.FILTER($C:$C,($F:$F=DS$1)*($B:$B=$I5))),"")</f>
        <v>47.008113590263697</v>
      </c>
      <c r="DT5" s="3" t="str" cm="1">
        <f t="array" ref="DT5">IFERROR(AVERAGE(_xlfn._xlws.FILTER($C:$C,($F:$F=DT$1)*($B:$B=$I5))),"")</f>
        <v/>
      </c>
      <c r="DU5" s="3" cm="1">
        <f t="array" ref="DU5">IFERROR(AVERAGE(_xlfn._xlws.FILTER($C:$C,($F:$F=DU$1)*($B:$B=$I5))),"")</f>
        <v>63.875176189355201</v>
      </c>
      <c r="DV5" s="3" t="str" cm="1">
        <f t="array" ref="DV5">IFERROR(AVERAGE(_xlfn._xlws.FILTER($C:$C,($F:$F=DV$1)*($B:$B=$I5))),"")</f>
        <v/>
      </c>
      <c r="DW5" s="3" cm="1">
        <f t="array" ref="DW5">IFERROR(AVERAGE(_xlfn._xlws.FILTER($C:$C,($F:$F=DW$1)*($B:$B=$I5))),"")</f>
        <v>86.6666666666667</v>
      </c>
      <c r="DX5" s="3"/>
      <c r="DZ5">
        <f t="shared" si="0"/>
        <v>91.5227629513344</v>
      </c>
      <c r="EA5" t="str" cm="1">
        <f t="array" ref="EA5">INDEX($J$1:$DW$1,0,MATCH(DZ5,J5:JDW5,0))</f>
        <v>Qatar</v>
      </c>
      <c r="ED5">
        <f t="shared" si="1"/>
        <v>7.8216987976782804</v>
      </c>
      <c r="EE5" t="str" cm="1">
        <f t="array" ref="EE5">INDEX($J$1:$DW$1,0,MATCH(ED5,J5:JDW5,0))</f>
        <v>Ukraine</v>
      </c>
    </row>
    <row r="6" spans="1:135" x14ac:dyDescent="0.2">
      <c r="A6">
        <v>27993271</v>
      </c>
      <c r="B6">
        <v>2015</v>
      </c>
      <c r="C6">
        <v>31.1475409836066</v>
      </c>
      <c r="D6" t="s">
        <v>130</v>
      </c>
      <c r="E6" t="s">
        <v>55</v>
      </c>
      <c r="F6" t="s">
        <v>7</v>
      </c>
      <c r="I6" s="2">
        <v>2014</v>
      </c>
      <c r="J6" s="3" cm="1">
        <f t="array" ref="J6">IFERROR(AVERAGE(_xlfn._xlws.FILTER($C:$C,($F:$F=J$1)*($B:$B=$I6))),"")</f>
        <v>24.886661806585501</v>
      </c>
      <c r="K6" s="3" t="str" cm="1">
        <f t="array" ref="K6">IFERROR(AVERAGE(_xlfn._xlws.FILTER($C:$C,($F:$F=K$1)*($B:$B=$I6))),"")</f>
        <v/>
      </c>
      <c r="L6" s="3" cm="1">
        <f t="array" ref="L6">IFERROR(AVERAGE(_xlfn._xlws.FILTER($C:$C,($F:$F=L$1)*($B:$B=$I6))),"")</f>
        <v>36.875</v>
      </c>
      <c r="M6" s="3" cm="1">
        <f t="array" ref="M6">IFERROR(AVERAGE(_xlfn._xlws.FILTER($C:$C,($F:$F=M$1)*($B:$B=$I6))),"")</f>
        <v>16.3270706769061</v>
      </c>
      <c r="N6" s="3" cm="1">
        <f t="array" ref="N6">IFERROR(AVERAGE(_xlfn._xlws.FILTER($C:$C,($F:$F=N$1)*($B:$B=$I6))),"")</f>
        <v>65.807001832186799</v>
      </c>
      <c r="O6" s="3" cm="1">
        <f t="array" ref="O6">IFERROR(AVERAGE(_xlfn._xlws.FILTER($C:$C,($F:$F=O$1)*($B:$B=$I6))),"")</f>
        <v>27.860933460334699</v>
      </c>
      <c r="P6" s="3" cm="1">
        <f t="array" ref="P6">IFERROR(AVERAGE(_xlfn._xlws.FILTER($C:$C,($F:$F=P$1)*($B:$B=$I6))),"")</f>
        <v>32.508924018358002</v>
      </c>
      <c r="Q6" s="3" cm="1">
        <f t="array" ref="Q6">IFERROR(AVERAGE(_xlfn._xlws.FILTER($C:$C,($F:$F=Q$1)*($B:$B=$I6))),"")</f>
        <v>46.271735926908299</v>
      </c>
      <c r="R6" s="3" cm="1">
        <f t="array" ref="R6">IFERROR(AVERAGE(_xlfn._xlws.FILTER($C:$C,($F:$F=R$1)*($B:$B=$I6))),"")</f>
        <v>40.860215053763397</v>
      </c>
      <c r="S6" s="3" cm="1">
        <f t="array" ref="S6">IFERROR(AVERAGE(_xlfn._xlws.FILTER($C:$C,($F:$F=S$1)*($B:$B=$I6))),"")</f>
        <v>20.073334987091499</v>
      </c>
      <c r="T6" s="3" cm="1">
        <f t="array" ref="T6">IFERROR(AVERAGE(_xlfn._xlws.FILTER($C:$C,($F:$F=T$1)*($B:$B=$I6))),"")</f>
        <v>49.240032657504401</v>
      </c>
      <c r="U6" s="3" t="str" cm="1">
        <f t="array" ref="U6">IFERROR(AVERAGE(_xlfn._xlws.FILTER($C:$C,($F:$F=U$1)*($B:$B=$I6))),"")</f>
        <v/>
      </c>
      <c r="V6" s="3" cm="1">
        <f t="array" ref="V6">IFERROR(AVERAGE(_xlfn._xlws.FILTER($C:$C,($F:$F=V$1)*($B:$B=$I6))),"")</f>
        <v>17.931098308692551</v>
      </c>
      <c r="W6" s="3" t="str" cm="1">
        <f t="array" ref="W6">IFERROR(AVERAGE(_xlfn._xlws.FILTER($C:$C,($F:$F=W$1)*($B:$B=$I6))),"")</f>
        <v/>
      </c>
      <c r="X6" s="3" cm="1">
        <f t="array" ref="X6">IFERROR(AVERAGE(_xlfn._xlws.FILTER($C:$C,($F:$F=X$1)*($B:$B=$I6))),"")</f>
        <v>33.856288162461681</v>
      </c>
      <c r="Y6" s="3" t="str" cm="1">
        <f t="array" ref="Y6">IFERROR(AVERAGE(_xlfn._xlws.FILTER($C:$C,($F:$F=Y$1)*($B:$B=$I6))),"")</f>
        <v/>
      </c>
      <c r="Z6" s="3" cm="1">
        <f t="array" ref="Z6">IFERROR(AVERAGE(_xlfn._xlws.FILTER($C:$C,($F:$F=Z$1)*($B:$B=$I6))),"")</f>
        <v>10.734963640585542</v>
      </c>
      <c r="AA6" s="3" cm="1">
        <f t="array" ref="AA6">IFERROR(AVERAGE(_xlfn._xlws.FILTER($C:$C,($F:$F=AA$1)*($B:$B=$I6))),"")</f>
        <v>26.3333333333333</v>
      </c>
      <c r="AB6" s="3" cm="1">
        <f t="array" ref="AB6">IFERROR(AVERAGE(_xlfn._xlws.FILTER($C:$C,($F:$F=AB$1)*($B:$B=$I6))),"")</f>
        <v>48.034403370785718</v>
      </c>
      <c r="AC6" s="3" cm="1">
        <f t="array" ref="AC6">IFERROR(AVERAGE(_xlfn._xlws.FILTER($C:$C,($F:$F=AC$1)*($B:$B=$I6))),"")</f>
        <v>47.927911025401897</v>
      </c>
      <c r="AD6" s="3" cm="1">
        <f t="array" ref="AD6">IFERROR(AVERAGE(_xlfn._xlws.FILTER($C:$C,($F:$F=AD$1)*($B:$B=$I6))),"")</f>
        <v>37.1779969277666</v>
      </c>
      <c r="AE6" s="3" cm="1">
        <f t="array" ref="AE6">IFERROR(AVERAGE(_xlfn._xlws.FILTER($C:$C,($F:$F=AE$1)*($B:$B=$I6))),"")</f>
        <v>54.142202790675498</v>
      </c>
      <c r="AF6" s="3" cm="1">
        <f t="array" ref="AF6">IFERROR(AVERAGE(_xlfn._xlws.FILTER($C:$C,($F:$F=AF$1)*($B:$B=$I6))),"")</f>
        <v>29.970720850579298</v>
      </c>
      <c r="AG6" s="3" t="str" cm="1">
        <f t="array" ref="AG6">IFERROR(AVERAGE(_xlfn._xlws.FILTER($C:$C,($F:$F=AG$1)*($B:$B=$I6))),"")</f>
        <v/>
      </c>
      <c r="AH6" s="3" cm="1">
        <f t="array" ref="AH6">IFERROR(AVERAGE(_xlfn._xlws.FILTER($C:$C,($F:$F=AH$1)*($B:$B=$I6))),"")</f>
        <v>20.160554643313247</v>
      </c>
      <c r="AI6" s="3" cm="1">
        <f t="array" ref="AI6">IFERROR(AVERAGE(_xlfn._xlws.FILTER($C:$C,($F:$F=AI$1)*($B:$B=$I6))),"")</f>
        <v>74.684399301600394</v>
      </c>
      <c r="AJ6" s="3" cm="1">
        <f t="array" ref="AJ6">IFERROR(AVERAGE(_xlfn._xlws.FILTER($C:$C,($F:$F=AJ$1)*($B:$B=$I6))),"")</f>
        <v>38.3333333333333</v>
      </c>
      <c r="AK6" s="3" cm="1">
        <f t="array" ref="AK6">IFERROR(AVERAGE(_xlfn._xlws.FILTER($C:$C,($F:$F=AK$1)*($B:$B=$I6))),"")</f>
        <v>46.286489640618996</v>
      </c>
      <c r="AL6" s="3" cm="1">
        <f t="array" ref="AL6">IFERROR(AVERAGE(_xlfn._xlws.FILTER($C:$C,($F:$F=AL$1)*($B:$B=$I6))),"")</f>
        <v>48.3333333333333</v>
      </c>
      <c r="AM6" s="3" cm="1">
        <f t="array" ref="AM6">IFERROR(AVERAGE(_xlfn._xlws.FILTER($C:$C,($F:$F=AM$1)*($B:$B=$I6))),"")</f>
        <v>23.132398965845699</v>
      </c>
      <c r="AN6" s="3" t="str" cm="1">
        <f t="array" ref="AN6">IFERROR(AVERAGE(_xlfn._xlws.FILTER($C:$C,($F:$F=AN$1)*($B:$B=$I6))),"")</f>
        <v/>
      </c>
      <c r="AO6" s="3" cm="1">
        <f t="array" ref="AO6">IFERROR(AVERAGE(_xlfn._xlws.FILTER($C:$C,($F:$F=AO$1)*($B:$B=$I6))),"")</f>
        <v>21.516532861613801</v>
      </c>
      <c r="AP6" s="3" cm="1">
        <f t="array" ref="AP6">IFERROR(AVERAGE(_xlfn._xlws.FILTER($C:$C,($F:$F=AP$1)*($B:$B=$I6))),"")</f>
        <v>39.211174850538605</v>
      </c>
      <c r="AQ6" s="3" cm="1">
        <f t="array" ref="AQ6">IFERROR(AVERAGE(_xlfn._xlws.FILTER($C:$C,($F:$F=AQ$1)*($B:$B=$I6))),"")</f>
        <v>13.416563100214701</v>
      </c>
      <c r="AR6" s="3" cm="1">
        <f t="array" ref="AR6">IFERROR(AVERAGE(_xlfn._xlws.FILTER($C:$C,($F:$F=AR$1)*($B:$B=$I6))),"")</f>
        <v>31.122133963804586</v>
      </c>
      <c r="AS6" s="3" cm="1">
        <f t="array" ref="AS6">IFERROR(AVERAGE(_xlfn._xlws.FILTER($C:$C,($F:$F=AS$1)*($B:$B=$I6))),"")</f>
        <v>83.723333333333301</v>
      </c>
      <c r="AT6" s="3" cm="1">
        <f t="array" ref="AT6">IFERROR(AVERAGE(_xlfn._xlws.FILTER($C:$C,($F:$F=AT$1)*($B:$B=$I6))),"")</f>
        <v>25.472934445243602</v>
      </c>
      <c r="AU6" s="3" t="str" cm="1">
        <f t="array" ref="AU6">IFERROR(AVERAGE(_xlfn._xlws.FILTER($C:$C,($F:$F=AU$1)*($B:$B=$I6))),"")</f>
        <v/>
      </c>
      <c r="AV6" s="3" t="str" cm="1">
        <f t="array" ref="AV6">IFERROR(AVERAGE(_xlfn._xlws.FILTER($C:$C,($F:$F=AV$1)*($B:$B=$I6))),"")</f>
        <v/>
      </c>
      <c r="AW6" s="3" cm="1">
        <f t="array" ref="AW6">IFERROR(AVERAGE(_xlfn._xlws.FILTER($C:$C,($F:$F=AW$1)*($B:$B=$I6))),"")</f>
        <v>19.610077387505701</v>
      </c>
      <c r="AX6" s="3" cm="1">
        <f t="array" ref="AX6">IFERROR(AVERAGE(_xlfn._xlws.FILTER($C:$C,($F:$F=AX$1)*($B:$B=$I6))),"")</f>
        <v>59.463838562380303</v>
      </c>
      <c r="AY6" s="3" cm="1">
        <f t="array" ref="AY6">IFERROR(AVERAGE(_xlfn._xlws.FILTER($C:$C,($F:$F=AY$1)*($B:$B=$I6))),"")</f>
        <v>21.961868955310759</v>
      </c>
      <c r="AZ6" s="3" cm="1">
        <f t="array" ref="AZ6">IFERROR(AVERAGE(_xlfn._xlws.FILTER($C:$C,($F:$F=AZ$1)*($B:$B=$I6))),"")</f>
        <v>34.473067445560297</v>
      </c>
      <c r="BA6" s="3" cm="1">
        <f t="array" ref="BA6">IFERROR(AVERAGE(_xlfn._xlws.FILTER($C:$C,($F:$F=BA$1)*($B:$B=$I6))),"")</f>
        <v>55.641199999999998</v>
      </c>
      <c r="BB6" s="3" t="str" cm="1">
        <f t="array" ref="BB6">IFERROR(AVERAGE(_xlfn._xlws.FILTER($C:$C,($F:$F=BB$1)*($B:$B=$I6))),"")</f>
        <v/>
      </c>
      <c r="BC6" s="3" cm="1">
        <f t="array" ref="BC6">IFERROR(AVERAGE(_xlfn._xlws.FILTER($C:$C,($F:$F=BC$1)*($B:$B=$I6))),"")</f>
        <v>41.124264828170098</v>
      </c>
      <c r="BD6" s="3" cm="1">
        <f t="array" ref="BD6">IFERROR(AVERAGE(_xlfn._xlws.FILTER($C:$C,($F:$F=BD$1)*($B:$B=$I6))),"")</f>
        <v>25.120328290091898</v>
      </c>
      <c r="BE6" s="3" cm="1">
        <f t="array" ref="BE6">IFERROR(AVERAGE(_xlfn._xlws.FILTER($C:$C,($F:$F=BE$1)*($B:$B=$I6))),"")</f>
        <v>34.281897763868074</v>
      </c>
      <c r="BF6" s="3" cm="1">
        <f t="array" ref="BF6">IFERROR(AVERAGE(_xlfn._xlws.FILTER($C:$C,($F:$F=BF$1)*($B:$B=$I6))),"")</f>
        <v>24.598032157427401</v>
      </c>
      <c r="BG6" s="3" cm="1">
        <f t="array" ref="BG6">IFERROR(AVERAGE(_xlfn._xlws.FILTER($C:$C,($F:$F=BG$1)*($B:$B=$I6))),"")</f>
        <v>38.620195636878698</v>
      </c>
      <c r="BH6" s="3" cm="1">
        <f t="array" ref="BH6">IFERROR(AVERAGE(_xlfn._xlws.FILTER($C:$C,($F:$F=BH$1)*($B:$B=$I6))),"")</f>
        <v>42.615353616764097</v>
      </c>
      <c r="BI6" s="3" cm="1">
        <f t="array" ref="BI6">IFERROR(AVERAGE(_xlfn._xlws.FILTER($C:$C,($F:$F=BI$1)*($B:$B=$I6))),"")</f>
        <v>21.692750498193998</v>
      </c>
      <c r="BJ6" s="3" cm="1">
        <f t="array" ref="BJ6">IFERROR(AVERAGE(_xlfn._xlws.FILTER($C:$C,($F:$F=BJ$1)*($B:$B=$I6))),"")</f>
        <v>55.840455840455803</v>
      </c>
      <c r="BK6" s="3" t="str" cm="1">
        <f t="array" ref="BK6">IFERROR(AVERAGE(_xlfn._xlws.FILTER($C:$C,($F:$F=BK$1)*($B:$B=$I6))),"")</f>
        <v/>
      </c>
      <c r="BL6" s="3" t="str" cm="1">
        <f t="array" ref="BL6">IFERROR(AVERAGE(_xlfn._xlws.FILTER($C:$C,($F:$F=BL$1)*($B:$B=$I6))),"")</f>
        <v/>
      </c>
      <c r="BM6" s="3" cm="1">
        <f t="array" ref="BM6">IFERROR(AVERAGE(_xlfn._xlws.FILTER($C:$C,($F:$F=BM$1)*($B:$B=$I6))),"")</f>
        <v>15.2865798889717</v>
      </c>
      <c r="BN6" s="3" cm="1">
        <f t="array" ref="BN6">IFERROR(AVERAGE(_xlfn._xlws.FILTER($C:$C,($F:$F=BN$1)*($B:$B=$I6))),"")</f>
        <v>62.197867079966002</v>
      </c>
      <c r="BO6" s="3" cm="1">
        <f t="array" ref="BO6">IFERROR(AVERAGE(_xlfn._xlws.FILTER($C:$C,($F:$F=BO$1)*($B:$B=$I6))),"")</f>
        <v>26.229508196721302</v>
      </c>
      <c r="BP6" s="3" cm="1">
        <f t="array" ref="BP6">IFERROR(AVERAGE(_xlfn._xlws.FILTER($C:$C,($F:$F=BP$1)*($B:$B=$I6))),"")</f>
        <v>11.9222697521766</v>
      </c>
      <c r="BQ6" s="3" cm="1">
        <f t="array" ref="BQ6">IFERROR(AVERAGE(_xlfn._xlws.FILTER($C:$C,($F:$F=BQ$1)*($B:$B=$I6))),"")</f>
        <v>51.367532997686801</v>
      </c>
      <c r="BR6" s="3" cm="1">
        <f t="array" ref="BR6">IFERROR(AVERAGE(_xlfn._xlws.FILTER($C:$C,($F:$F=BR$1)*($B:$B=$I6))),"")</f>
        <v>44.278426528394199</v>
      </c>
      <c r="BS6" s="3" cm="1">
        <f t="array" ref="BS6">IFERROR(AVERAGE(_xlfn._xlws.FILTER($C:$C,($F:$F=BS$1)*($B:$B=$I6))),"")</f>
        <v>75.492104693921704</v>
      </c>
      <c r="BT6" s="3" t="str" cm="1">
        <f t="array" ref="BT6">IFERROR(AVERAGE(_xlfn._xlws.FILTER($C:$C,($F:$F=BT$1)*($B:$B=$I6))),"")</f>
        <v/>
      </c>
      <c r="BU6" s="3" t="str" cm="1">
        <f t="array" ref="BU6">IFERROR(AVERAGE(_xlfn._xlws.FILTER($C:$C,($F:$F=BU$1)*($B:$B=$I6))),"")</f>
        <v/>
      </c>
      <c r="BV6" s="3" cm="1">
        <f t="array" ref="BV6">IFERROR(AVERAGE(_xlfn._xlws.FILTER($C:$C,($F:$F=BV$1)*($B:$B=$I6))),"")</f>
        <v>36.285873036842467</v>
      </c>
      <c r="BW6" s="3" t="str" cm="1">
        <f t="array" ref="BW6">IFERROR(AVERAGE(_xlfn._xlws.FILTER($C:$C,($F:$F=BW$1)*($B:$B=$I6))),"")</f>
        <v/>
      </c>
      <c r="BX6" s="3" t="str" cm="1">
        <f t="array" ref="BX6">IFERROR(AVERAGE(_xlfn._xlws.FILTER($C:$C,($F:$F=BX$1)*($B:$B=$I6))),"")</f>
        <v/>
      </c>
      <c r="BY6" s="3" t="str" cm="1">
        <f t="array" ref="BY6">IFERROR(AVERAGE(_xlfn._xlws.FILTER($C:$C,($F:$F=BY$1)*($B:$B=$I6))),"")</f>
        <v/>
      </c>
      <c r="BZ6" s="3" t="str" cm="1">
        <f t="array" ref="BZ6">IFERROR(AVERAGE(_xlfn._xlws.FILTER($C:$C,($F:$F=BZ$1)*($B:$B=$I6))),"")</f>
        <v/>
      </c>
      <c r="CA6" s="3" t="str" cm="1">
        <f t="array" ref="CA6">IFERROR(AVERAGE(_xlfn._xlws.FILTER($C:$C,($F:$F=CA$1)*($B:$B=$I6))),"")</f>
        <v/>
      </c>
      <c r="CB6" s="3" cm="1">
        <f t="array" ref="CB6">IFERROR(AVERAGE(_xlfn._xlws.FILTER($C:$C,($F:$F=CB$1)*($B:$B=$I6))),"")</f>
        <v>11.362918509159799</v>
      </c>
      <c r="CC6" s="3" cm="1">
        <f t="array" ref="CC6">IFERROR(AVERAGE(_xlfn._xlws.FILTER($C:$C,($F:$F=CC$1)*($B:$B=$I6))),"")</f>
        <v>69.674631856996768</v>
      </c>
      <c r="CD6" s="3" t="str" cm="1">
        <f t="array" ref="CD6">IFERROR(AVERAGE(_xlfn._xlws.FILTER($C:$C,($F:$F=CD$1)*($B:$B=$I6))),"")</f>
        <v/>
      </c>
      <c r="CE6" s="3" t="str" cm="1">
        <f t="array" ref="CE6">IFERROR(AVERAGE(_xlfn._xlws.FILTER($C:$C,($F:$F=CE$1)*($B:$B=$I6))),"")</f>
        <v/>
      </c>
      <c r="CF6" s="3" cm="1">
        <f t="array" ref="CF6">IFERROR(AVERAGE(_xlfn._xlws.FILTER($C:$C,($F:$F=CF$1)*($B:$B=$I6))),"")</f>
        <v>15.5438983986748</v>
      </c>
      <c r="CG6" s="3" cm="1">
        <f t="array" ref="CG6">IFERROR(AVERAGE(_xlfn._xlws.FILTER($C:$C,($F:$F=CG$1)*($B:$B=$I6))),"")</f>
        <v>50.974260067292221</v>
      </c>
      <c r="CH6" s="3" cm="1">
        <f t="array" ref="CH6">IFERROR(AVERAGE(_xlfn._xlws.FILTER($C:$C,($F:$F=CH$1)*($B:$B=$I6))),"")</f>
        <v>64.192949907235601</v>
      </c>
      <c r="CI6" s="3" cm="1">
        <f t="array" ref="CI6">IFERROR(AVERAGE(_xlfn._xlws.FILTER($C:$C,($F:$F=CI$1)*($B:$B=$I6))),"")</f>
        <v>27.750257358189998</v>
      </c>
      <c r="CJ6" s="3" cm="1">
        <f t="array" ref="CJ6">IFERROR(AVERAGE(_xlfn._xlws.FILTER($C:$C,($F:$F=CJ$1)*($B:$B=$I6))),"")</f>
        <v>34.991666666666703</v>
      </c>
      <c r="CK6" s="3" t="str" cm="1">
        <f t="array" ref="CK6">IFERROR(AVERAGE(_xlfn._xlws.FILTER($C:$C,($F:$F=CK$1)*($B:$B=$I6))),"")</f>
        <v/>
      </c>
      <c r="CL6" s="3" cm="1">
        <f t="array" ref="CL6">IFERROR(AVERAGE(_xlfn._xlws.FILTER($C:$C,($F:$F=CL$1)*($B:$B=$I6))),"")</f>
        <v>18.395099262862551</v>
      </c>
      <c r="CM6" s="3" cm="1">
        <f t="array" ref="CM6">IFERROR(AVERAGE(_xlfn._xlws.FILTER($C:$C,($F:$F=CM$1)*($B:$B=$I6))),"")</f>
        <v>63.199711087034999</v>
      </c>
      <c r="CN6" s="3" cm="1">
        <f t="array" ref="CN6">IFERROR(AVERAGE(_xlfn._xlws.FILTER($C:$C,($F:$F=CN$1)*($B:$B=$I6))),"")</f>
        <v>51.786511105688604</v>
      </c>
      <c r="CO6" s="3" cm="1">
        <f t="array" ref="CO6">IFERROR(AVERAGE(_xlfn._xlws.FILTER($C:$C,($F:$F=CO$1)*($B:$B=$I6))),"")</f>
        <v>14.794115608028369</v>
      </c>
      <c r="CP6" s="3" cm="1">
        <f t="array" ref="CP6">IFERROR(AVERAGE(_xlfn._xlws.FILTER($C:$C,($F:$F=CP$1)*($B:$B=$I6))),"")</f>
        <v>28.7218782600807</v>
      </c>
      <c r="CQ6" s="3" cm="1">
        <f t="array" ref="CQ6">IFERROR(AVERAGE(_xlfn._xlws.FILTER($C:$C,($F:$F=CQ$1)*($B:$B=$I6))),"")</f>
        <v>85.020465346262696</v>
      </c>
      <c r="CR6" s="3" cm="1">
        <f t="array" ref="CR6">IFERROR(AVERAGE(_xlfn._xlws.FILTER($C:$C,($F:$F=CR$1)*($B:$B=$I6))),"")</f>
        <v>10.546417532861399</v>
      </c>
      <c r="CS6" s="3" cm="1">
        <f t="array" ref="CS6">IFERROR(AVERAGE(_xlfn._xlws.FILTER($C:$C,($F:$F=CS$1)*($B:$B=$I6))),"")</f>
        <v>10.42113556458713</v>
      </c>
      <c r="CT6" s="3" cm="1">
        <f t="array" ref="CT6">IFERROR(AVERAGE(_xlfn._xlws.FILTER($C:$C,($F:$F=CT$1)*($B:$B=$I6))),"")</f>
        <v>52.509498701904853</v>
      </c>
      <c r="CU6" s="3" cm="1">
        <f t="array" ref="CU6">IFERROR(AVERAGE(_xlfn._xlws.FILTER($C:$C,($F:$F=CU$1)*($B:$B=$I6))),"")</f>
        <v>18.833916072849398</v>
      </c>
      <c r="CV6" s="3" cm="1">
        <f t="array" ref="CV6">IFERROR(AVERAGE(_xlfn._xlws.FILTER($C:$C,($F:$F=CV$1)*($B:$B=$I6))),"")</f>
        <v>31.380819737365702</v>
      </c>
      <c r="CW6" s="3" cm="1">
        <f t="array" ref="CW6">IFERROR(AVERAGE(_xlfn._xlws.FILTER($C:$C,($F:$F=CW$1)*($B:$B=$I6))),"")</f>
        <v>16.918401596589099</v>
      </c>
      <c r="CX6" s="3" cm="1">
        <f t="array" ref="CX6">IFERROR(AVERAGE(_xlfn._xlws.FILTER($C:$C,($F:$F=CX$1)*($B:$B=$I6))),"")</f>
        <v>28.8021045947294</v>
      </c>
      <c r="CY6" s="3" cm="1">
        <f t="array" ref="CY6">IFERROR(AVERAGE(_xlfn._xlws.FILTER($C:$C,($F:$F=CY$1)*($B:$B=$I6))),"")</f>
        <v>66.94892435400439</v>
      </c>
      <c r="CZ6" s="3" cm="1">
        <f t="array" ref="CZ6">IFERROR(AVERAGE(_xlfn._xlws.FILTER($C:$C,($F:$F=CZ$1)*($B:$B=$I6))),"")</f>
        <v>25.2247853858985</v>
      </c>
      <c r="DA6" s="3" cm="1">
        <f t="array" ref="DA6">IFERROR(AVERAGE(_xlfn._xlws.FILTER($C:$C,($F:$F=DA$1)*($B:$B=$I6))),"")</f>
        <v>50.32462434830105</v>
      </c>
      <c r="DB6" s="3" cm="1">
        <f t="array" ref="DB6">IFERROR(AVERAGE(_xlfn._xlws.FILTER($C:$C,($F:$F=DB$1)*($B:$B=$I6))),"")</f>
        <v>11.0699574179291</v>
      </c>
      <c r="DC6" s="3" t="str" cm="1">
        <f t="array" ref="DC6">IFERROR(AVERAGE(_xlfn._xlws.FILTER($C:$C,($F:$F=DC$1)*($B:$B=$I6))),"")</f>
        <v/>
      </c>
      <c r="DD6" s="3" t="str" cm="1">
        <f t="array" ref="DD6">IFERROR(AVERAGE(_xlfn._xlws.FILTER($C:$C,($F:$F=DD$1)*($B:$B=$I6))),"")</f>
        <v/>
      </c>
      <c r="DE6" s="3" cm="1">
        <f t="array" ref="DE6">IFERROR(AVERAGE(_xlfn._xlws.FILTER($C:$C,($F:$F=DE$1)*($B:$B=$I6))),"")</f>
        <v>38.084847760242297</v>
      </c>
      <c r="DF6" s="3" cm="1">
        <f t="array" ref="DF6">IFERROR(AVERAGE(_xlfn._xlws.FILTER($C:$C,($F:$F=DF$1)*($B:$B=$I6))),"")</f>
        <v>56.833370461127203</v>
      </c>
      <c r="DG6" s="3" cm="1">
        <f t="array" ref="DG6">IFERROR(AVERAGE(_xlfn._xlws.FILTER($C:$C,($F:$F=DG$1)*($B:$B=$I6))),"")</f>
        <v>22.671962075990699</v>
      </c>
      <c r="DH6" s="3" t="str" cm="1">
        <f t="array" ref="DH6">IFERROR(AVERAGE(_xlfn._xlws.FILTER($C:$C,($F:$F=DH$1)*($B:$B=$I6))),"")</f>
        <v/>
      </c>
      <c r="DI6" s="3" cm="1">
        <f t="array" ref="DI6">IFERROR(AVERAGE(_xlfn._xlws.FILTER($C:$C,($F:$F=DI$1)*($B:$B=$I6))),"")</f>
        <v>20.017633869074576</v>
      </c>
      <c r="DJ6" s="3" t="str" cm="1">
        <f t="array" ref="DJ6">IFERROR(AVERAGE(_xlfn._xlws.FILTER($C:$C,($F:$F=DJ$1)*($B:$B=$I6))),"")</f>
        <v/>
      </c>
      <c r="DK6" s="3" t="str" cm="1">
        <f t="array" ref="DK6">IFERROR(AVERAGE(_xlfn._xlws.FILTER($C:$C,($F:$F=DK$1)*($B:$B=$I6))),"")</f>
        <v/>
      </c>
      <c r="DL6" s="3" cm="1">
        <f t="array" ref="DL6">IFERROR(AVERAGE(_xlfn._xlws.FILTER($C:$C,($F:$F=DL$1)*($B:$B=$I6))),"")</f>
        <v>23.502963417126502</v>
      </c>
      <c r="DM6" s="3" cm="1">
        <f t="array" ref="DM6">IFERROR(AVERAGE(_xlfn._xlws.FILTER($C:$C,($F:$F=DM$1)*($B:$B=$I6))),"")</f>
        <v>26.733804511582299</v>
      </c>
      <c r="DN6" s="3" t="str" cm="1">
        <f t="array" ref="DN6">IFERROR(AVERAGE(_xlfn._xlws.FILTER($C:$C,($F:$F=DN$1)*($B:$B=$I6))),"")</f>
        <v/>
      </c>
      <c r="DO6" s="3" cm="1">
        <f t="array" ref="DO6">IFERROR(AVERAGE(_xlfn._xlws.FILTER($C:$C,($F:$F=DO$1)*($B:$B=$I6))),"")</f>
        <v>5.2314416166908204</v>
      </c>
      <c r="DP6" s="3" cm="1">
        <f t="array" ref="DP6">IFERROR(AVERAGE(_xlfn._xlws.FILTER($C:$C,($F:$F=DP$1)*($B:$B=$I6))),"")</f>
        <v>78.5553528808545</v>
      </c>
      <c r="DQ6" s="3" cm="1">
        <f t="array" ref="DQ6">IFERROR(AVERAGE(_xlfn._xlws.FILTER($C:$C,($F:$F=DQ$1)*($B:$B=$I6))),"")</f>
        <v>34.069297902826655</v>
      </c>
      <c r="DR6" s="3" cm="1">
        <f t="array" ref="DR6">IFERROR(AVERAGE(_xlfn._xlws.FILTER($C:$C,($F:$F=DR$1)*($B:$B=$I6))),"")</f>
        <v>48.463080634920637</v>
      </c>
      <c r="DS6" s="3" cm="1">
        <f t="array" ref="DS6">IFERROR(AVERAGE(_xlfn._xlws.FILTER($C:$C,($F:$F=DS$1)*($B:$B=$I6))),"")</f>
        <v>32.407407407407398</v>
      </c>
      <c r="DT6" s="3" t="str" cm="1">
        <f t="array" ref="DT6">IFERROR(AVERAGE(_xlfn._xlws.FILTER($C:$C,($F:$F=DT$1)*($B:$B=$I6))),"")</f>
        <v/>
      </c>
      <c r="DU6" s="3" cm="1">
        <f t="array" ref="DU6">IFERROR(AVERAGE(_xlfn._xlws.FILTER($C:$C,($F:$F=DU$1)*($B:$B=$I6))),"")</f>
        <v>50.684246020260503</v>
      </c>
      <c r="DV6" s="3" cm="1">
        <f t="array" ref="DV6">IFERROR(AVERAGE(_xlfn._xlws.FILTER($C:$C,($F:$F=DV$1)*($B:$B=$I6))),"")</f>
        <v>14.979501734468601</v>
      </c>
      <c r="DW6" s="3" cm="1">
        <f t="array" ref="DW6">IFERROR(AVERAGE(_xlfn._xlws.FILTER($C:$C,($F:$F=DW$1)*($B:$B=$I6))),"")</f>
        <v>94.2804814233386</v>
      </c>
      <c r="DX6" s="3"/>
      <c r="DZ6">
        <f t="shared" si="0"/>
        <v>94.2804814233386</v>
      </c>
      <c r="EA6" t="str" cm="1">
        <f t="array" ref="EA6">INDEX($J$1:$DW$1,0,MATCH(DZ6,J6:JDW6,0))</f>
        <v>Zimbabwe</v>
      </c>
      <c r="ED6">
        <f t="shared" si="1"/>
        <v>5.2314416166908204</v>
      </c>
      <c r="EE6" t="str" cm="1">
        <f t="array" ref="EE6">INDEX($J$1:$DW$1,0,MATCH(ED6,J6:JDW6,0))</f>
        <v>Ukraine</v>
      </c>
    </row>
    <row r="7" spans="1:135" x14ac:dyDescent="0.2">
      <c r="A7">
        <v>65219896</v>
      </c>
      <c r="B7">
        <v>2018</v>
      </c>
      <c r="C7">
        <v>53.248670519606698</v>
      </c>
      <c r="D7" t="s">
        <v>1051</v>
      </c>
      <c r="E7" t="s">
        <v>298</v>
      </c>
      <c r="F7" t="s">
        <v>33</v>
      </c>
      <c r="I7" s="2">
        <v>2015</v>
      </c>
      <c r="J7" s="3" cm="1">
        <f t="array" ref="J7">IFERROR(AVERAGE(_xlfn._xlws.FILTER($C:$C,($F:$F=J$1)*($B:$B=$I7))),"")</f>
        <v>15.863820771891699</v>
      </c>
      <c r="K7" s="3" cm="1">
        <f t="array" ref="K7">IFERROR(AVERAGE(_xlfn._xlws.FILTER($C:$C,($F:$F=K$1)*($B:$B=$I7))),"")</f>
        <v>32.893084919399399</v>
      </c>
      <c r="L7" s="3" cm="1">
        <f t="array" ref="L7">IFERROR(AVERAGE(_xlfn._xlws.FILTER($C:$C,($F:$F=L$1)*($B:$B=$I7))),"")</f>
        <v>46.206000000000003</v>
      </c>
      <c r="M7" s="3" cm="1">
        <f t="array" ref="M7">IFERROR(AVERAGE(_xlfn._xlws.FILTER($C:$C,($F:$F=M$1)*($B:$B=$I7))),"")</f>
        <v>14.9064515679637</v>
      </c>
      <c r="N7" s="3" cm="1">
        <f t="array" ref="N7">IFERROR(AVERAGE(_xlfn._xlws.FILTER($C:$C,($F:$F=N$1)*($B:$B=$I7))),"")</f>
        <v>53.814997797429925</v>
      </c>
      <c r="O7" s="3" cm="1">
        <f t="array" ref="O7">IFERROR(AVERAGE(_xlfn._xlws.FILTER($C:$C,($F:$F=O$1)*($B:$B=$I7))),"")</f>
        <v>23.18735362997657</v>
      </c>
      <c r="P7" s="3" cm="1">
        <f t="array" ref="P7">IFERROR(AVERAGE(_xlfn._xlws.FILTER($C:$C,($F:$F=P$1)*($B:$B=$I7))),"")</f>
        <v>20.0463095124814</v>
      </c>
      <c r="Q7" s="3" cm="1">
        <f t="array" ref="Q7">IFERROR(AVERAGE(_xlfn._xlws.FILTER($C:$C,($F:$F=Q$1)*($B:$B=$I7))),"")</f>
        <v>44.0981432360743</v>
      </c>
      <c r="R7" s="3" cm="1">
        <f t="array" ref="R7">IFERROR(AVERAGE(_xlfn._xlws.FILTER($C:$C,($F:$F=R$1)*($B:$B=$I7))),"")</f>
        <v>47.745012705601098</v>
      </c>
      <c r="S7" s="3" cm="1">
        <f t="array" ref="S7">IFERROR(AVERAGE(_xlfn._xlws.FILTER($C:$C,($F:$F=S$1)*($B:$B=$I7))),"")</f>
        <v>11.984294979609899</v>
      </c>
      <c r="T7" s="3" cm="1">
        <f t="array" ref="T7">IFERROR(AVERAGE(_xlfn._xlws.FILTER($C:$C,($F:$F=T$1)*($B:$B=$I7))),"")</f>
        <v>44.682197296520002</v>
      </c>
      <c r="U7" s="3" t="str" cm="1">
        <f t="array" ref="U7">IFERROR(AVERAGE(_xlfn._xlws.FILTER($C:$C,($F:$F=U$1)*($B:$B=$I7))),"")</f>
        <v/>
      </c>
      <c r="V7" s="3" cm="1">
        <f t="array" ref="V7">IFERROR(AVERAGE(_xlfn._xlws.FILTER($C:$C,($F:$F=V$1)*($B:$B=$I7))),"")</f>
        <v>15.696185730355051</v>
      </c>
      <c r="W7" s="3" t="str" cm="1">
        <f t="array" ref="W7">IFERROR(AVERAGE(_xlfn._xlws.FILTER($C:$C,($F:$F=W$1)*($B:$B=$I7))),"")</f>
        <v/>
      </c>
      <c r="X7" s="3" cm="1">
        <f t="array" ref="X7">IFERROR(AVERAGE(_xlfn._xlws.FILTER($C:$C,($F:$F=X$1)*($B:$B=$I7))),"")</f>
        <v>24.231476234818292</v>
      </c>
      <c r="Y7" s="3" cm="1">
        <f t="array" ref="Y7">IFERROR(AVERAGE(_xlfn._xlws.FILTER($C:$C,($F:$F=Y$1)*($B:$B=$I7))),"")</f>
        <v>73.449184683623002</v>
      </c>
      <c r="Z7" s="3" cm="1">
        <f t="array" ref="Z7">IFERROR(AVERAGE(_xlfn._xlws.FILTER($C:$C,($F:$F=Z$1)*($B:$B=$I7))),"")</f>
        <v>8.2643980887462867</v>
      </c>
      <c r="AA7" s="3" cm="1">
        <f t="array" ref="AA7">IFERROR(AVERAGE(_xlfn._xlws.FILTER($C:$C,($F:$F=AA$1)*($B:$B=$I7))),"")</f>
        <v>36.75</v>
      </c>
      <c r="AB7" s="3" cm="1">
        <f t="array" ref="AB7">IFERROR(AVERAGE(_xlfn._xlws.FILTER($C:$C,($F:$F=AB$1)*($B:$B=$I7))),"")</f>
        <v>46.439813440689811</v>
      </c>
      <c r="AC7" s="3" cm="1">
        <f t="array" ref="AC7">IFERROR(AVERAGE(_xlfn._xlws.FILTER($C:$C,($F:$F=AC$1)*($B:$B=$I7))),"")</f>
        <v>35.677424635936447</v>
      </c>
      <c r="AD7" s="3" cm="1">
        <f t="array" ref="AD7">IFERROR(AVERAGE(_xlfn._xlws.FILTER($C:$C,($F:$F=AD$1)*($B:$B=$I7))),"")</f>
        <v>31.41758092892923</v>
      </c>
      <c r="AE7" s="3" cm="1">
        <f t="array" ref="AE7">IFERROR(AVERAGE(_xlfn._xlws.FILTER($C:$C,($F:$F=AE$1)*($B:$B=$I7))),"")</f>
        <v>42.286059926620503</v>
      </c>
      <c r="AF7" s="3" cm="1">
        <f t="array" ref="AF7">IFERROR(AVERAGE(_xlfn._xlws.FILTER($C:$C,($F:$F=AF$1)*($B:$B=$I7))),"")</f>
        <v>22.818409653222652</v>
      </c>
      <c r="AG7" s="3" cm="1">
        <f t="array" ref="AG7">IFERROR(AVERAGE(_xlfn._xlws.FILTER($C:$C,($F:$F=AG$1)*($B:$B=$I7))),"")</f>
        <v>40.735221063089895</v>
      </c>
      <c r="AH7" s="3" cm="1">
        <f t="array" ref="AH7">IFERROR(AVERAGE(_xlfn._xlws.FILTER($C:$C,($F:$F=AH$1)*($B:$B=$I7))),"")</f>
        <v>15.328757555928734</v>
      </c>
      <c r="AI7" s="3" cm="1">
        <f t="array" ref="AI7">IFERROR(AVERAGE(_xlfn._xlws.FILTER($C:$C,($F:$F=AI$1)*($B:$B=$I7))),"")</f>
        <v>49.506215399590403</v>
      </c>
      <c r="AJ7" s="3" cm="1">
        <f t="array" ref="AJ7">IFERROR(AVERAGE(_xlfn._xlws.FILTER($C:$C,($F:$F=AJ$1)*($B:$B=$I7))),"")</f>
        <v>37.931476190476197</v>
      </c>
      <c r="AK7" s="3" cm="1">
        <f t="array" ref="AK7">IFERROR(AVERAGE(_xlfn._xlws.FILTER($C:$C,($F:$F=AK$1)*($B:$B=$I7))),"")</f>
        <v>65.493357804579603</v>
      </c>
      <c r="AL7" s="3" cm="1">
        <f t="array" ref="AL7">IFERROR(AVERAGE(_xlfn._xlws.FILTER($C:$C,($F:$F=AL$1)*($B:$B=$I7))),"")</f>
        <v>50.8</v>
      </c>
      <c r="AM7" s="3" cm="1">
        <f t="array" ref="AM7">IFERROR(AVERAGE(_xlfn._xlws.FILTER($C:$C,($F:$F=AM$1)*($B:$B=$I7))),"")</f>
        <v>15.75878220140515</v>
      </c>
      <c r="AN7" s="3" t="str" cm="1">
        <f t="array" ref="AN7">IFERROR(AVERAGE(_xlfn._xlws.FILTER($C:$C,($F:$F=AN$1)*($B:$B=$I7))),"")</f>
        <v/>
      </c>
      <c r="AO7" s="3" cm="1">
        <f t="array" ref="AO7">IFERROR(AVERAGE(_xlfn._xlws.FILTER($C:$C,($F:$F=AO$1)*($B:$B=$I7))),"")</f>
        <v>20.1976948684128</v>
      </c>
      <c r="AP7" s="3" cm="1">
        <f t="array" ref="AP7">IFERROR(AVERAGE(_xlfn._xlws.FILTER($C:$C,($F:$F=AP$1)*($B:$B=$I7))),"")</f>
        <v>29.369760587329406</v>
      </c>
      <c r="AQ7" s="3" cm="1">
        <f t="array" ref="AQ7">IFERROR(AVERAGE(_xlfn._xlws.FILTER($C:$C,($F:$F=AQ$1)*($B:$B=$I7))),"")</f>
        <v>10.608562159657099</v>
      </c>
      <c r="AR7" s="3" cm="1">
        <f t="array" ref="AR7">IFERROR(AVERAGE(_xlfn._xlws.FILTER($C:$C,($F:$F=AR$1)*($B:$B=$I7))),"")</f>
        <v>25.82917820427301</v>
      </c>
      <c r="AS7" s="3" t="str" cm="1">
        <f t="array" ref="AS7">IFERROR(AVERAGE(_xlfn._xlws.FILTER($C:$C,($F:$F=AS$1)*($B:$B=$I7))),"")</f>
        <v/>
      </c>
      <c r="AT7" s="3" cm="1">
        <f t="array" ref="AT7">IFERROR(AVERAGE(_xlfn._xlws.FILTER($C:$C,($F:$F=AT$1)*($B:$B=$I7))),"")</f>
        <v>19.777093337749076</v>
      </c>
      <c r="AU7" s="3" cm="1">
        <f t="array" ref="AU7">IFERROR(AVERAGE(_xlfn._xlws.FILTER($C:$C,($F:$F=AU$1)*($B:$B=$I7))),"")</f>
        <v>52.864521082788301</v>
      </c>
      <c r="AV7" s="3" t="str" cm="1">
        <f t="array" ref="AV7">IFERROR(AVERAGE(_xlfn._xlws.FILTER($C:$C,($F:$F=AV$1)*($B:$B=$I7))),"")</f>
        <v/>
      </c>
      <c r="AW7" s="3" cm="1">
        <f t="array" ref="AW7">IFERROR(AVERAGE(_xlfn._xlws.FILTER($C:$C,($F:$F=AW$1)*($B:$B=$I7))),"")</f>
        <v>13.482709712278801</v>
      </c>
      <c r="AX7" s="3" cm="1">
        <f t="array" ref="AX7">IFERROR(AVERAGE(_xlfn._xlws.FILTER($C:$C,($F:$F=AX$1)*($B:$B=$I7))),"")</f>
        <v>61.173882928944202</v>
      </c>
      <c r="AY7" s="3" cm="1">
        <f t="array" ref="AY7">IFERROR(AVERAGE(_xlfn._xlws.FILTER($C:$C,($F:$F=AY$1)*($B:$B=$I7))),"")</f>
        <v>20.680647081057277</v>
      </c>
      <c r="AZ7" s="3" cm="1">
        <f t="array" ref="AZ7">IFERROR(AVERAGE(_xlfn._xlws.FILTER($C:$C,($F:$F=AZ$1)*($B:$B=$I7))),"")</f>
        <v>30.656992695830297</v>
      </c>
      <c r="BA7" s="3" cm="1">
        <f t="array" ref="BA7">IFERROR(AVERAGE(_xlfn._xlws.FILTER($C:$C,($F:$F=BA$1)*($B:$B=$I7))),"")</f>
        <v>64.913478260869596</v>
      </c>
      <c r="BB7" s="3" cm="1">
        <f t="array" ref="BB7">IFERROR(AVERAGE(_xlfn._xlws.FILTER($C:$C,($F:$F=BB$1)*($B:$B=$I7))),"")</f>
        <v>55.938363312664997</v>
      </c>
      <c r="BC7" s="3" cm="1">
        <f t="array" ref="BC7">IFERROR(AVERAGE(_xlfn._xlws.FILTER($C:$C,($F:$F=BC$1)*($B:$B=$I7))),"")</f>
        <v>41.120050941772249</v>
      </c>
      <c r="BD7" s="3" cm="1">
        <f t="array" ref="BD7">IFERROR(AVERAGE(_xlfn._xlws.FILTER($C:$C,($F:$F=BD$1)*($B:$B=$I7))),"")</f>
        <v>21.088821762665763</v>
      </c>
      <c r="BE7" s="3" cm="1">
        <f t="array" ref="BE7">IFERROR(AVERAGE(_xlfn._xlws.FILTER($C:$C,($F:$F=BE$1)*($B:$B=$I7))),"")</f>
        <v>28.214549870287577</v>
      </c>
      <c r="BF7" s="3" t="str" cm="1">
        <f t="array" ref="BF7">IFERROR(AVERAGE(_xlfn._xlws.FILTER($C:$C,($F:$F=BF$1)*($B:$B=$I7))),"")</f>
        <v/>
      </c>
      <c r="BG7" s="3" cm="1">
        <f t="array" ref="BG7">IFERROR(AVERAGE(_xlfn._xlws.FILTER($C:$C,($F:$F=BG$1)*($B:$B=$I7))),"")</f>
        <v>33.73059589384075</v>
      </c>
      <c r="BH7" s="3" cm="1">
        <f t="array" ref="BH7">IFERROR(AVERAGE(_xlfn._xlws.FILTER($C:$C,($F:$F=BH$1)*($B:$B=$I7))),"")</f>
        <v>38.772821381516998</v>
      </c>
      <c r="BI7" s="3" cm="1">
        <f t="array" ref="BI7">IFERROR(AVERAGE(_xlfn._xlws.FILTER($C:$C,($F:$F=BI$1)*($B:$B=$I7))),"")</f>
        <v>21.087857172727301</v>
      </c>
      <c r="BJ7" s="3" cm="1">
        <f t="array" ref="BJ7">IFERROR(AVERAGE(_xlfn._xlws.FILTER($C:$C,($F:$F=BJ$1)*($B:$B=$I7))),"")</f>
        <v>44.3367004746082</v>
      </c>
      <c r="BK7" s="3" cm="1">
        <f t="array" ref="BK7">IFERROR(AVERAGE(_xlfn._xlws.FILTER($C:$C,($F:$F=BK$1)*($B:$B=$I7))),"")</f>
        <v>55.486798679868002</v>
      </c>
      <c r="BL7" s="3" t="str" cm="1">
        <f t="array" ref="BL7">IFERROR(AVERAGE(_xlfn._xlws.FILTER($C:$C,($F:$F=BL$1)*($B:$B=$I7))),"")</f>
        <v/>
      </c>
      <c r="BM7" s="3" cm="1">
        <f t="array" ref="BM7">IFERROR(AVERAGE(_xlfn._xlws.FILTER($C:$C,($F:$F=BM$1)*($B:$B=$I7))),"")</f>
        <v>12.693989071038301</v>
      </c>
      <c r="BN7" s="3" cm="1">
        <f t="array" ref="BN7">IFERROR(AVERAGE(_xlfn._xlws.FILTER($C:$C,($F:$F=BN$1)*($B:$B=$I7))),"")</f>
        <v>63.670637428488099</v>
      </c>
      <c r="BO7" s="3" t="str" cm="1">
        <f t="array" ref="BO7">IFERROR(AVERAGE(_xlfn._xlws.FILTER($C:$C,($F:$F=BO$1)*($B:$B=$I7))),"")</f>
        <v/>
      </c>
      <c r="BP7" s="3" cm="1">
        <f t="array" ref="BP7">IFERROR(AVERAGE(_xlfn._xlws.FILTER($C:$C,($F:$F=BP$1)*($B:$B=$I7))),"")</f>
        <v>9.2070219101307806</v>
      </c>
      <c r="BQ7" s="3" cm="1">
        <f t="array" ref="BQ7">IFERROR(AVERAGE(_xlfn._xlws.FILTER($C:$C,($F:$F=BQ$1)*($B:$B=$I7))),"")</f>
        <v>43.9587128111718</v>
      </c>
      <c r="BR7" s="3" cm="1">
        <f t="array" ref="BR7">IFERROR(AVERAGE(_xlfn._xlws.FILTER($C:$C,($F:$F=BR$1)*($B:$B=$I7))),"")</f>
        <v>44.563143575179197</v>
      </c>
      <c r="BS7" s="3" t="str" cm="1">
        <f t="array" ref="BS7">IFERROR(AVERAGE(_xlfn._xlws.FILTER($C:$C,($F:$F=BS$1)*($B:$B=$I7))),"")</f>
        <v/>
      </c>
      <c r="BT7" s="3" t="str" cm="1">
        <f t="array" ref="BT7">IFERROR(AVERAGE(_xlfn._xlws.FILTER($C:$C,($F:$F=BT$1)*($B:$B=$I7))),"")</f>
        <v/>
      </c>
      <c r="BU7" s="3" t="str" cm="1">
        <f t="array" ref="BU7">IFERROR(AVERAGE(_xlfn._xlws.FILTER($C:$C,($F:$F=BU$1)*($B:$B=$I7))),"")</f>
        <v/>
      </c>
      <c r="BV7" s="3" cm="1">
        <f t="array" ref="BV7">IFERROR(AVERAGE(_xlfn._xlws.FILTER($C:$C,($F:$F=BV$1)*($B:$B=$I7))),"")</f>
        <v>27.077418270942633</v>
      </c>
      <c r="BW7" s="3" cm="1">
        <f t="array" ref="BW7">IFERROR(AVERAGE(_xlfn._xlws.FILTER($C:$C,($F:$F=BW$1)*($B:$B=$I7))),"")</f>
        <v>30.247866066965599</v>
      </c>
      <c r="BX7" s="3" cm="1">
        <f t="array" ref="BX7">IFERROR(AVERAGE(_xlfn._xlws.FILTER($C:$C,($F:$F=BX$1)*($B:$B=$I7))),"")</f>
        <v>25.1366120218579</v>
      </c>
      <c r="BY7" s="3" cm="1">
        <f t="array" ref="BY7">IFERROR(AVERAGE(_xlfn._xlws.FILTER($C:$C,($F:$F=BY$1)*($B:$B=$I7))),"")</f>
        <v>24.6027955874832</v>
      </c>
      <c r="BZ7" s="3" t="str" cm="1">
        <f t="array" ref="BZ7">IFERROR(AVERAGE(_xlfn._xlws.FILTER($C:$C,($F:$F=BZ$1)*($B:$B=$I7))),"")</f>
        <v/>
      </c>
      <c r="CA7" s="3" t="str" cm="1">
        <f t="array" ref="CA7">IFERROR(AVERAGE(_xlfn._xlws.FILTER($C:$C,($F:$F=CA$1)*($B:$B=$I7))),"")</f>
        <v/>
      </c>
      <c r="CB7" s="3" cm="1">
        <f t="array" ref="CB7">IFERROR(AVERAGE(_xlfn._xlws.FILTER($C:$C,($F:$F=CB$1)*($B:$B=$I7))),"")</f>
        <v>53.359096168056404</v>
      </c>
      <c r="CC7" s="3" cm="1">
        <f t="array" ref="CC7">IFERROR(AVERAGE(_xlfn._xlws.FILTER($C:$C,($F:$F=CC$1)*($B:$B=$I7))),"")</f>
        <v>59.334816287278102</v>
      </c>
      <c r="CD7" s="3" t="str" cm="1">
        <f t="array" ref="CD7">IFERROR(AVERAGE(_xlfn._xlws.FILTER($C:$C,($F:$F=CD$1)*($B:$B=$I7))),"")</f>
        <v/>
      </c>
      <c r="CE7" s="3" cm="1">
        <f t="array" ref="CE7">IFERROR(AVERAGE(_xlfn._xlws.FILTER($C:$C,($F:$F=CE$1)*($B:$B=$I7))),"")</f>
        <v>72.008708029808304</v>
      </c>
      <c r="CF7" s="3" cm="1">
        <f t="array" ref="CF7">IFERROR(AVERAGE(_xlfn._xlws.FILTER($C:$C,($F:$F=CF$1)*($B:$B=$I7))),"")</f>
        <v>11.855502267872501</v>
      </c>
      <c r="CG7" s="3" cm="1">
        <f t="array" ref="CG7">IFERROR(AVERAGE(_xlfn._xlws.FILTER($C:$C,($F:$F=CG$1)*($B:$B=$I7))),"")</f>
        <v>42.686091055170898</v>
      </c>
      <c r="CH7" s="3" cm="1">
        <f t="array" ref="CH7">IFERROR(AVERAGE(_xlfn._xlws.FILTER($C:$C,($F:$F=CH$1)*($B:$B=$I7))),"")</f>
        <v>59.740259740259702</v>
      </c>
      <c r="CI7" s="3" cm="1">
        <f t="array" ref="CI7">IFERROR(AVERAGE(_xlfn._xlws.FILTER($C:$C,($F:$F=CI$1)*($B:$B=$I7))),"")</f>
        <v>28.5830296202891</v>
      </c>
      <c r="CJ7" s="3" cm="1">
        <f t="array" ref="CJ7">IFERROR(AVERAGE(_xlfn._xlws.FILTER($C:$C,($F:$F=CJ$1)*($B:$B=$I7))),"")</f>
        <v>42.594999999999999</v>
      </c>
      <c r="CK7" s="3" t="str" cm="1">
        <f t="array" ref="CK7">IFERROR(AVERAGE(_xlfn._xlws.FILTER($C:$C,($F:$F=CK$1)*($B:$B=$I7))),"")</f>
        <v/>
      </c>
      <c r="CL7" s="3" cm="1">
        <f t="array" ref="CL7">IFERROR(AVERAGE(_xlfn._xlws.FILTER($C:$C,($F:$F=CL$1)*($B:$B=$I7))),"")</f>
        <v>22.859374641027401</v>
      </c>
      <c r="CM7" s="3" cm="1">
        <f t="array" ref="CM7">IFERROR(AVERAGE(_xlfn._xlws.FILTER($C:$C,($F:$F=CM$1)*($B:$B=$I7))),"")</f>
        <v>41.940343689060697</v>
      </c>
      <c r="CN7" s="3" cm="1">
        <f t="array" ref="CN7">IFERROR(AVERAGE(_xlfn._xlws.FILTER($C:$C,($F:$F=CN$1)*($B:$B=$I7))),"")</f>
        <v>55.217569657590396</v>
      </c>
      <c r="CO7" s="3" cm="1">
        <f t="array" ref="CO7">IFERROR(AVERAGE(_xlfn._xlws.FILTER($C:$C,($F:$F=CO$1)*($B:$B=$I7))),"")</f>
        <v>11.674226783583268</v>
      </c>
      <c r="CP7" s="3" cm="1">
        <f t="array" ref="CP7">IFERROR(AVERAGE(_xlfn._xlws.FILTER($C:$C,($F:$F=CP$1)*($B:$B=$I7))),"")</f>
        <v>24.438345200640267</v>
      </c>
      <c r="CQ7" s="3" cm="1">
        <f t="array" ref="CQ7">IFERROR(AVERAGE(_xlfn._xlws.FILTER($C:$C,($F:$F=CQ$1)*($B:$B=$I7))),"")</f>
        <v>72.042863030636099</v>
      </c>
      <c r="CR7" s="3" cm="1">
        <f t="array" ref="CR7">IFERROR(AVERAGE(_xlfn._xlws.FILTER($C:$C,($F:$F=CR$1)*($B:$B=$I7))),"")</f>
        <v>8.0199633795672991</v>
      </c>
      <c r="CS7" s="3" cm="1">
        <f t="array" ref="CS7">IFERROR(AVERAGE(_xlfn._xlws.FILTER($C:$C,($F:$F=CS$1)*($B:$B=$I7))),"")</f>
        <v>7.7865391848623942</v>
      </c>
      <c r="CT7" s="3" cm="1">
        <f t="array" ref="CT7">IFERROR(AVERAGE(_xlfn._xlws.FILTER($C:$C,($F:$F=CT$1)*($B:$B=$I7))),"")</f>
        <v>38.731408634008304</v>
      </c>
      <c r="CU7" s="3" cm="1">
        <f t="array" ref="CU7">IFERROR(AVERAGE(_xlfn._xlws.FILTER($C:$C,($F:$F=CU$1)*($B:$B=$I7))),"")</f>
        <v>13.95307727411895</v>
      </c>
      <c r="CV7" s="3" cm="1">
        <f t="array" ref="CV7">IFERROR(AVERAGE(_xlfn._xlws.FILTER($C:$C,($F:$F=CV$1)*($B:$B=$I7))),"")</f>
        <v>30.8022545301306</v>
      </c>
      <c r="CW7" s="3" cm="1">
        <f t="array" ref="CW7">IFERROR(AVERAGE(_xlfn._xlws.FILTER($C:$C,($F:$F=CW$1)*($B:$B=$I7))),"")</f>
        <v>15.551912568306001</v>
      </c>
      <c r="CX7" s="3" cm="1">
        <f t="array" ref="CX7">IFERROR(AVERAGE(_xlfn._xlws.FILTER($C:$C,($F:$F=CX$1)*($B:$B=$I7))),"")</f>
        <v>29.632786885245899</v>
      </c>
      <c r="CY7" s="3" cm="1">
        <f t="array" ref="CY7">IFERROR(AVERAGE(_xlfn._xlws.FILTER($C:$C,($F:$F=CY$1)*($B:$B=$I7))),"")</f>
        <v>61.177444733498724</v>
      </c>
      <c r="CZ7" s="3" cm="1">
        <f t="array" ref="CZ7">IFERROR(AVERAGE(_xlfn._xlws.FILTER($C:$C,($F:$F=CZ$1)*($B:$B=$I7))),"")</f>
        <v>21.951538350367901</v>
      </c>
      <c r="DA7" s="3" cm="1">
        <f t="array" ref="DA7">IFERROR(AVERAGE(_xlfn._xlws.FILTER($C:$C,($F:$F=DA$1)*($B:$B=$I7))),"")</f>
        <v>35.52270217133605</v>
      </c>
      <c r="DB7" s="3" cm="1">
        <f t="array" ref="DB7">IFERROR(AVERAGE(_xlfn._xlws.FILTER($C:$C,($F:$F=DB$1)*($B:$B=$I7))),"")</f>
        <v>42.427183258059301</v>
      </c>
      <c r="DC7" s="3" t="str" cm="1">
        <f t="array" ref="DC7">IFERROR(AVERAGE(_xlfn._xlws.FILTER($C:$C,($F:$F=DC$1)*($B:$B=$I7))),"")</f>
        <v/>
      </c>
      <c r="DD7" s="3" t="str" cm="1">
        <f t="array" ref="DD7">IFERROR(AVERAGE(_xlfn._xlws.FILTER($C:$C,($F:$F=DD$1)*($B:$B=$I7))),"")</f>
        <v/>
      </c>
      <c r="DE7" s="3" cm="1">
        <f t="array" ref="DE7">IFERROR(AVERAGE(_xlfn._xlws.FILTER($C:$C,($F:$F=DE$1)*($B:$B=$I7))),"")</f>
        <v>26.263692346568799</v>
      </c>
      <c r="DF7" s="3" cm="1">
        <f t="array" ref="DF7">IFERROR(AVERAGE(_xlfn._xlws.FILTER($C:$C,($F:$F=DF$1)*($B:$B=$I7))),"")</f>
        <v>56.430097564795759</v>
      </c>
      <c r="DG7" s="3" cm="1">
        <f t="array" ref="DG7">IFERROR(AVERAGE(_xlfn._xlws.FILTER($C:$C,($F:$F=DG$1)*($B:$B=$I7))),"")</f>
        <v>23.247439866634899</v>
      </c>
      <c r="DH7" s="3" t="str" cm="1">
        <f t="array" ref="DH7">IFERROR(AVERAGE(_xlfn._xlws.FILTER($C:$C,($F:$F=DH$1)*($B:$B=$I7))),"")</f>
        <v/>
      </c>
      <c r="DI7" s="3" cm="1">
        <f t="array" ref="DI7">IFERROR(AVERAGE(_xlfn._xlws.FILTER($C:$C,($F:$F=DI$1)*($B:$B=$I7))),"")</f>
        <v>19.288839451242126</v>
      </c>
      <c r="DJ7" s="3" cm="1">
        <f t="array" ref="DJ7">IFERROR(AVERAGE(_xlfn._xlws.FILTER($C:$C,($F:$F=DJ$1)*($B:$B=$I7))),"")</f>
        <v>37.5</v>
      </c>
      <c r="DK7" s="3" cm="1">
        <f t="array" ref="DK7">IFERROR(AVERAGE(_xlfn._xlws.FILTER($C:$C,($F:$F=DK$1)*($B:$B=$I7))),"")</f>
        <v>32.5845917556899</v>
      </c>
      <c r="DL7" s="3" cm="1">
        <f t="array" ref="DL7">IFERROR(AVERAGE(_xlfn._xlws.FILTER($C:$C,($F:$F=DL$1)*($B:$B=$I7))),"")</f>
        <v>22.093554776778898</v>
      </c>
      <c r="DM7" s="3" cm="1">
        <f t="array" ref="DM7">IFERROR(AVERAGE(_xlfn._xlws.FILTER($C:$C,($F:$F=DM$1)*($B:$B=$I7))),"")</f>
        <v>19.11186017537856</v>
      </c>
      <c r="DN7" s="3" t="str" cm="1">
        <f t="array" ref="DN7">IFERROR(AVERAGE(_xlfn._xlws.FILTER($C:$C,($F:$F=DN$1)*($B:$B=$I7))),"")</f>
        <v/>
      </c>
      <c r="DO7" s="3" cm="1">
        <f t="array" ref="DO7">IFERROR(AVERAGE(_xlfn._xlws.FILTER($C:$C,($F:$F=DO$1)*($B:$B=$I7))),"")</f>
        <v>3.772124706223563</v>
      </c>
      <c r="DP7" s="3" cm="1">
        <f t="array" ref="DP7">IFERROR(AVERAGE(_xlfn._xlws.FILTER($C:$C,($F:$F=DP$1)*($B:$B=$I7))),"")</f>
        <v>84.269544501316417</v>
      </c>
      <c r="DQ7" s="3" cm="1">
        <f t="array" ref="DQ7">IFERROR(AVERAGE(_xlfn._xlws.FILTER($C:$C,($F:$F=DQ$1)*($B:$B=$I7))),"")</f>
        <v>32.305386184650303</v>
      </c>
      <c r="DR7" s="3" cm="1">
        <f t="array" ref="DR7">IFERROR(AVERAGE(_xlfn._xlws.FILTER($C:$C,($F:$F=DR$1)*($B:$B=$I7))),"")</f>
        <v>49.930904328590032</v>
      </c>
      <c r="DS7" s="3" cm="1">
        <f t="array" ref="DS7">IFERROR(AVERAGE(_xlfn._xlws.FILTER($C:$C,($F:$F=DS$1)*($B:$B=$I7))),"")</f>
        <v>28.129898371277701</v>
      </c>
      <c r="DT7" s="3" t="str" cm="1">
        <f t="array" ref="DT7">IFERROR(AVERAGE(_xlfn._xlws.FILTER($C:$C,($F:$F=DT$1)*($B:$B=$I7))),"")</f>
        <v/>
      </c>
      <c r="DU7" s="3" t="str" cm="1">
        <f t="array" ref="DU7">IFERROR(AVERAGE(_xlfn._xlws.FILTER($C:$C,($F:$F=DU$1)*($B:$B=$I7))),"")</f>
        <v/>
      </c>
      <c r="DV7" s="3" cm="1">
        <f t="array" ref="DV7">IFERROR(AVERAGE(_xlfn._xlws.FILTER($C:$C,($F:$F=DV$1)*($B:$B=$I7))),"")</f>
        <v>11.5087277032963</v>
      </c>
      <c r="DW7" s="3" t="str" cm="1">
        <f t="array" ref="DW7">IFERROR(AVERAGE(_xlfn._xlws.FILTER($C:$C,($F:$F=DW$1)*($B:$B=$I7))),"")</f>
        <v/>
      </c>
      <c r="DX7" s="3"/>
      <c r="DZ7">
        <f t="shared" si="0"/>
        <v>84.269544501316417</v>
      </c>
      <c r="EA7" t="str" cm="1">
        <f t="array" ref="EA7">INDEX($J$1:$DW$1,0,MATCH(DZ7,J7:JDW7,0))</f>
        <v>United Arab Emirates</v>
      </c>
      <c r="ED7">
        <f t="shared" si="1"/>
        <v>3.772124706223563</v>
      </c>
      <c r="EE7" t="str" cm="1">
        <f t="array" ref="EE7">INDEX($J$1:$DW$1,0,MATCH(ED7,J7:JDW7,0))</f>
        <v>Ukraine</v>
      </c>
    </row>
    <row r="8" spans="1:135" x14ac:dyDescent="0.2">
      <c r="A8">
        <v>48655992</v>
      </c>
      <c r="B8">
        <v>2020</v>
      </c>
      <c r="C8">
        <v>32.401049876566397</v>
      </c>
      <c r="D8" t="s">
        <v>707</v>
      </c>
      <c r="E8" t="s">
        <v>436</v>
      </c>
      <c r="F8" t="s">
        <v>19</v>
      </c>
      <c r="I8" s="2">
        <v>2016</v>
      </c>
      <c r="J8" s="3" cm="1">
        <f t="array" ref="J8">IFERROR(AVERAGE(_xlfn._xlws.FILTER($C:$C,($F:$F=J$1)*($B:$B=$I8))),"")</f>
        <v>16.8911671800718</v>
      </c>
      <c r="K8" s="3" cm="1">
        <f t="array" ref="K8">IFERROR(AVERAGE(_xlfn._xlws.FILTER($C:$C,($F:$F=K$1)*($B:$B=$I8))),"")</f>
        <v>35.111698330979401</v>
      </c>
      <c r="L8" s="3" cm="1">
        <f t="array" ref="L8">IFERROR(AVERAGE(_xlfn._xlws.FILTER($C:$C,($F:$F=L$1)*($B:$B=$I8))),"")</f>
        <v>35.545952557369297</v>
      </c>
      <c r="M8" s="3" cm="1">
        <f t="array" ref="M8">IFERROR(AVERAGE(_xlfn._xlws.FILTER($C:$C,($F:$F=M$1)*($B:$B=$I8))),"")</f>
        <v>14.573676965632099</v>
      </c>
      <c r="N8" s="3" cm="1">
        <f t="array" ref="N8">IFERROR(AVERAGE(_xlfn._xlws.FILTER($C:$C,($F:$F=N$1)*($B:$B=$I8))),"")</f>
        <v>53.748416939740913</v>
      </c>
      <c r="O8" s="3" cm="1">
        <f t="array" ref="O8">IFERROR(AVERAGE(_xlfn._xlws.FILTER($C:$C,($F:$F=O$1)*($B:$B=$I8))),"")</f>
        <v>23.203270874223399</v>
      </c>
      <c r="P8" s="3" cm="1">
        <f t="array" ref="P8">IFERROR(AVERAGE(_xlfn._xlws.FILTER($C:$C,($F:$F=P$1)*($B:$B=$I8))),"")</f>
        <v>14.173131828002001</v>
      </c>
      <c r="Q8" s="3" cm="1">
        <f t="array" ref="Q8">IFERROR(AVERAGE(_xlfn._xlws.FILTER($C:$C,($F:$F=Q$1)*($B:$B=$I8))),"")</f>
        <v>36.756347101174697</v>
      </c>
      <c r="R8" s="3" cm="1">
        <f t="array" ref="R8">IFERROR(AVERAGE(_xlfn._xlws.FILTER($C:$C,($F:$F=R$1)*($B:$B=$I8))),"")</f>
        <v>39.450970860235202</v>
      </c>
      <c r="S8" s="3" cm="1">
        <f t="array" ref="S8">IFERROR(AVERAGE(_xlfn._xlws.FILTER($C:$C,($F:$F=S$1)*($B:$B=$I8))),"")</f>
        <v>9.5942488442063798</v>
      </c>
      <c r="T8" s="3" cm="1">
        <f t="array" ref="T8">IFERROR(AVERAGE(_xlfn._xlws.FILTER($C:$C,($F:$F=T$1)*($B:$B=$I8))),"")</f>
        <v>44.216938083296327</v>
      </c>
      <c r="U8" s="3" t="str" cm="1">
        <f t="array" ref="U8">IFERROR(AVERAGE(_xlfn._xlws.FILTER($C:$C,($F:$F=U$1)*($B:$B=$I8))),"")</f>
        <v/>
      </c>
      <c r="V8" s="3" cm="1">
        <f t="array" ref="V8">IFERROR(AVERAGE(_xlfn._xlws.FILTER($C:$C,($F:$F=V$1)*($B:$B=$I8))),"")</f>
        <v>15.24251667870325</v>
      </c>
      <c r="W8" s="3" t="str" cm="1">
        <f t="array" ref="W8">IFERROR(AVERAGE(_xlfn._xlws.FILTER($C:$C,($F:$F=W$1)*($B:$B=$I8))),"")</f>
        <v/>
      </c>
      <c r="X8" s="3" cm="1">
        <f t="array" ref="X8">IFERROR(AVERAGE(_xlfn._xlws.FILTER($C:$C,($F:$F=X$1)*($B:$B=$I8))),"")</f>
        <v>25.23926727958203</v>
      </c>
      <c r="Y8" s="3" cm="1">
        <f t="array" ref="Y8">IFERROR(AVERAGE(_xlfn._xlws.FILTER($C:$C,($F:$F=Y$1)*($B:$B=$I8))),"")</f>
        <v>70.578671199467905</v>
      </c>
      <c r="Z8" s="3" cm="1">
        <f t="array" ref="Z8">IFERROR(AVERAGE(_xlfn._xlws.FILTER($C:$C,($F:$F=Z$1)*($B:$B=$I8))),"")</f>
        <v>8.9250053436685644</v>
      </c>
      <c r="AA8" s="3" cm="1">
        <f t="array" ref="AA8">IFERROR(AVERAGE(_xlfn._xlws.FILTER($C:$C,($F:$F=AA$1)*($B:$B=$I8))),"")</f>
        <v>25.623750000000001</v>
      </c>
      <c r="AB8" s="3" t="str" cm="1">
        <f t="array" ref="AB8">IFERROR(AVERAGE(_xlfn._xlws.FILTER($C:$C,($F:$F=AB$1)*($B:$B=$I8))),"")</f>
        <v/>
      </c>
      <c r="AC8" s="3" cm="1">
        <f t="array" ref="AC8">IFERROR(AVERAGE(_xlfn._xlws.FILTER($C:$C,($F:$F=AC$1)*($B:$B=$I8))),"")</f>
        <v>34.476277546464601</v>
      </c>
      <c r="AD8" s="3" cm="1">
        <f t="array" ref="AD8">IFERROR(AVERAGE(_xlfn._xlws.FILTER($C:$C,($F:$F=AD$1)*($B:$B=$I8))),"")</f>
        <v>24.357165886048733</v>
      </c>
      <c r="AE8" s="3" cm="1">
        <f t="array" ref="AE8">IFERROR(AVERAGE(_xlfn._xlws.FILTER($C:$C,($F:$F=AE$1)*($B:$B=$I8))),"")</f>
        <v>43.810866009490397</v>
      </c>
      <c r="AF8" s="3" cm="1">
        <f t="array" ref="AF8">IFERROR(AVERAGE(_xlfn._xlws.FILTER($C:$C,($F:$F=AF$1)*($B:$B=$I8))),"")</f>
        <v>24.569575309862</v>
      </c>
      <c r="AG8" s="3" cm="1">
        <f t="array" ref="AG8">IFERROR(AVERAGE(_xlfn._xlws.FILTER($C:$C,($F:$F=AG$1)*($B:$B=$I8))),"")</f>
        <v>37.1218829227684</v>
      </c>
      <c r="AH8" s="3" cm="1">
        <f t="array" ref="AH8">IFERROR(AVERAGE(_xlfn._xlws.FILTER($C:$C,($F:$F=AH$1)*($B:$B=$I8))),"")</f>
        <v>14.921971751256425</v>
      </c>
      <c r="AI8" s="3" cm="1">
        <f t="array" ref="AI8">IFERROR(AVERAGE(_xlfn._xlws.FILTER($C:$C,($F:$F=AI$1)*($B:$B=$I8))),"")</f>
        <v>51.4154630712315</v>
      </c>
      <c r="AJ8" s="3" cm="1">
        <f t="array" ref="AJ8">IFERROR(AVERAGE(_xlfn._xlws.FILTER($C:$C,($F:$F=AJ$1)*($B:$B=$I8))),"")</f>
        <v>39.260701112172335</v>
      </c>
      <c r="AK8" s="3" cm="1">
        <f t="array" ref="AK8">IFERROR(AVERAGE(_xlfn._xlws.FILTER($C:$C,($F:$F=AK$1)*($B:$B=$I8))),"")</f>
        <v>53.258892692419373</v>
      </c>
      <c r="AL8" s="3" cm="1">
        <f t="array" ref="AL8">IFERROR(AVERAGE(_xlfn._xlws.FILTER($C:$C,($F:$F=AL$1)*($B:$B=$I8))),"")</f>
        <v>45.4</v>
      </c>
      <c r="AM8" s="3" cm="1">
        <f t="array" ref="AM8">IFERROR(AVERAGE(_xlfn._xlws.FILTER($C:$C,($F:$F=AM$1)*($B:$B=$I8))),"")</f>
        <v>18.4782296826797</v>
      </c>
      <c r="AN8" s="3" t="str" cm="1">
        <f t="array" ref="AN8">IFERROR(AVERAGE(_xlfn._xlws.FILTER($C:$C,($F:$F=AN$1)*($B:$B=$I8))),"")</f>
        <v/>
      </c>
      <c r="AO8" s="3" cm="1">
        <f t="array" ref="AO8">IFERROR(AVERAGE(_xlfn._xlws.FILTER($C:$C,($F:$F=AO$1)*($B:$B=$I8))),"")</f>
        <v>19.677555151927976</v>
      </c>
      <c r="AP8" s="3" cm="1">
        <f t="array" ref="AP8">IFERROR(AVERAGE(_xlfn._xlws.FILTER($C:$C,($F:$F=AP$1)*($B:$B=$I8))),"")</f>
        <v>30.320357386615374</v>
      </c>
      <c r="AQ8" s="3" cm="1">
        <f t="array" ref="AQ8">IFERROR(AVERAGE(_xlfn._xlws.FILTER($C:$C,($F:$F=AQ$1)*($B:$B=$I8))),"")</f>
        <v>12.3848663522013</v>
      </c>
      <c r="AR8" s="3" cm="1">
        <f t="array" ref="AR8">IFERROR(AVERAGE(_xlfn._xlws.FILTER($C:$C,($F:$F=AR$1)*($B:$B=$I8))),"")</f>
        <v>29.070121142641028</v>
      </c>
      <c r="AS8" s="3" t="str" cm="1">
        <f t="array" ref="AS8">IFERROR(AVERAGE(_xlfn._xlws.FILTER($C:$C,($F:$F=AS$1)*($B:$B=$I8))),"")</f>
        <v/>
      </c>
      <c r="AT8" s="3" cm="1">
        <f t="array" ref="AT8">IFERROR(AVERAGE(_xlfn._xlws.FILTER($C:$C,($F:$F=AT$1)*($B:$B=$I8))),"")</f>
        <v>23.212144241063527</v>
      </c>
      <c r="AU8" s="3" cm="1">
        <f t="array" ref="AU8">IFERROR(AVERAGE(_xlfn._xlws.FILTER($C:$C,($F:$F=AU$1)*($B:$B=$I8))),"")</f>
        <v>53.113503920391402</v>
      </c>
      <c r="AV8" s="3" t="str" cm="1">
        <f t="array" ref="AV8">IFERROR(AVERAGE(_xlfn._xlws.FILTER($C:$C,($F:$F=AV$1)*($B:$B=$I8))),"")</f>
        <v/>
      </c>
      <c r="AW8" s="3" cm="1">
        <f t="array" ref="AW8">IFERROR(AVERAGE(_xlfn._xlws.FILTER($C:$C,($F:$F=AW$1)*($B:$B=$I8))),"")</f>
        <v>13.291223608090551</v>
      </c>
      <c r="AX8" s="3" cm="1">
        <f t="array" ref="AX8">IFERROR(AVERAGE(_xlfn._xlws.FILTER($C:$C,($F:$F=AX$1)*($B:$B=$I8))),"")</f>
        <v>56.014745955932398</v>
      </c>
      <c r="AY8" s="3" cm="1">
        <f t="array" ref="AY8">IFERROR(AVERAGE(_xlfn._xlws.FILTER($C:$C,($F:$F=AY$1)*($B:$B=$I8))),"")</f>
        <v>18.526862483647353</v>
      </c>
      <c r="AZ8" s="3" cm="1">
        <f t="array" ref="AZ8">IFERROR(AVERAGE(_xlfn._xlws.FILTER($C:$C,($F:$F=AZ$1)*($B:$B=$I8))),"")</f>
        <v>27.486354173066768</v>
      </c>
      <c r="BA8" s="3" cm="1">
        <f t="array" ref="BA8">IFERROR(AVERAGE(_xlfn._xlws.FILTER($C:$C,($F:$F=BA$1)*($B:$B=$I8))),"")</f>
        <v>87.540670917366754</v>
      </c>
      <c r="BB8" s="3" cm="1">
        <f t="array" ref="BB8">IFERROR(AVERAGE(_xlfn._xlws.FILTER($C:$C,($F:$F=BB$1)*($B:$B=$I8))),"")</f>
        <v>46.849883046573801</v>
      </c>
      <c r="BC8" s="3" cm="1">
        <f t="array" ref="BC8">IFERROR(AVERAGE(_xlfn._xlws.FILTER($C:$C,($F:$F=BC$1)*($B:$B=$I8))),"")</f>
        <v>46.264019024831825</v>
      </c>
      <c r="BD8" s="3" cm="1">
        <f t="array" ref="BD8">IFERROR(AVERAGE(_xlfn._xlws.FILTER($C:$C,($F:$F=BD$1)*($B:$B=$I8))),"")</f>
        <v>21.574375934408334</v>
      </c>
      <c r="BE8" s="3" cm="1">
        <f t="array" ref="BE8">IFERROR(AVERAGE(_xlfn._xlws.FILTER($C:$C,($F:$F=BE$1)*($B:$B=$I8))),"")</f>
        <v>30.982726947081574</v>
      </c>
      <c r="BF8" s="3" cm="1">
        <f t="array" ref="BF8">IFERROR(AVERAGE(_xlfn._xlws.FILTER($C:$C,($F:$F=BF$1)*($B:$B=$I8))),"")</f>
        <v>32.012830742561597</v>
      </c>
      <c r="BG8" s="3" cm="1">
        <f t="array" ref="BG8">IFERROR(AVERAGE(_xlfn._xlws.FILTER($C:$C,($F:$F=BG$1)*($B:$B=$I8))),"")</f>
        <v>36.251998820113997</v>
      </c>
      <c r="BH8" s="3" cm="1">
        <f t="array" ref="BH8">IFERROR(AVERAGE(_xlfn._xlws.FILTER($C:$C,($F:$F=BH$1)*($B:$B=$I8))),"")</f>
        <v>41.221417002442102</v>
      </c>
      <c r="BI8" s="3" cm="1">
        <f t="array" ref="BI8">IFERROR(AVERAGE(_xlfn._xlws.FILTER($C:$C,($F:$F=BI$1)*($B:$B=$I8))),"")</f>
        <v>11.9004831835981</v>
      </c>
      <c r="BJ8" s="3" cm="1">
        <f t="array" ref="BJ8">IFERROR(AVERAGE(_xlfn._xlws.FILTER($C:$C,($F:$F=BJ$1)*($B:$B=$I8))),"")</f>
        <v>41.927891719433703</v>
      </c>
      <c r="BK8" s="3" cm="1">
        <f t="array" ref="BK8">IFERROR(AVERAGE(_xlfn._xlws.FILTER($C:$C,($F:$F=BK$1)*($B:$B=$I8))),"")</f>
        <v>42.607348384240801</v>
      </c>
      <c r="BL8" s="3" t="str" cm="1">
        <f t="array" ref="BL8">IFERROR(AVERAGE(_xlfn._xlws.FILTER($C:$C,($F:$F=BL$1)*($B:$B=$I8))),"")</f>
        <v/>
      </c>
      <c r="BM8" s="3" cm="1">
        <f t="array" ref="BM8">IFERROR(AVERAGE(_xlfn._xlws.FILTER($C:$C,($F:$F=BM$1)*($B:$B=$I8))),"")</f>
        <v>13.398544417956399</v>
      </c>
      <c r="BN8" s="3" cm="1">
        <f t="array" ref="BN8">IFERROR(AVERAGE(_xlfn._xlws.FILTER($C:$C,($F:$F=BN$1)*($B:$B=$I8))),"")</f>
        <v>66.683124050000401</v>
      </c>
      <c r="BO8" s="3" cm="1">
        <f t="array" ref="BO8">IFERROR(AVERAGE(_xlfn._xlws.FILTER($C:$C,($F:$F=BO$1)*($B:$B=$I8))),"")</f>
        <v>27.0622678180431</v>
      </c>
      <c r="BP8" s="3" cm="1">
        <f t="array" ref="BP8">IFERROR(AVERAGE(_xlfn._xlws.FILTER($C:$C,($F:$F=BP$1)*($B:$B=$I8))),"")</f>
        <v>9.9913634299631404</v>
      </c>
      <c r="BQ8" s="3" cm="1">
        <f t="array" ref="BQ8">IFERROR(AVERAGE(_xlfn._xlws.FILTER($C:$C,($F:$F=BQ$1)*($B:$B=$I8))),"")</f>
        <v>44.589137732513798</v>
      </c>
      <c r="BR8" s="3" cm="1">
        <f t="array" ref="BR8">IFERROR(AVERAGE(_xlfn._xlws.FILTER($C:$C,($F:$F=BR$1)*($B:$B=$I8))),"")</f>
        <v>37.166970882054436</v>
      </c>
      <c r="BS8" s="3" cm="1">
        <f t="array" ref="BS8">IFERROR(AVERAGE(_xlfn._xlws.FILTER($C:$C,($F:$F=BS$1)*($B:$B=$I8))),"")</f>
        <v>85.663198959687904</v>
      </c>
      <c r="BT8" s="3" cm="1">
        <f t="array" ref="BT8">IFERROR(AVERAGE(_xlfn._xlws.FILTER($C:$C,($F:$F=BT$1)*($B:$B=$I8))),"")</f>
        <v>23.8392553070723</v>
      </c>
      <c r="BU8" s="3" t="str" cm="1">
        <f t="array" ref="BU8">IFERROR(AVERAGE(_xlfn._xlws.FILTER($C:$C,($F:$F=BU$1)*($B:$B=$I8))),"")</f>
        <v/>
      </c>
      <c r="BV8" s="3" cm="1">
        <f t="array" ref="BV8">IFERROR(AVERAGE(_xlfn._xlws.FILTER($C:$C,($F:$F=BV$1)*($B:$B=$I8))),"")</f>
        <v>23.296901564831199</v>
      </c>
      <c r="BW8" s="3" t="str" cm="1">
        <f t="array" ref="BW8">IFERROR(AVERAGE(_xlfn._xlws.FILTER($C:$C,($F:$F=BW$1)*($B:$B=$I8))),"")</f>
        <v/>
      </c>
      <c r="BX8" s="3" cm="1">
        <f t="array" ref="BX8">IFERROR(AVERAGE(_xlfn._xlws.FILTER($C:$C,($F:$F=BX$1)*($B:$B=$I8))),"")</f>
        <v>20.433647406062001</v>
      </c>
      <c r="BY8" s="3" cm="1">
        <f t="array" ref="BY8">IFERROR(AVERAGE(_xlfn._xlws.FILTER($C:$C,($F:$F=BY$1)*($B:$B=$I8))),"")</f>
        <v>24.340134926474398</v>
      </c>
      <c r="BZ8" s="3" t="str" cm="1">
        <f t="array" ref="BZ8">IFERROR(AVERAGE(_xlfn._xlws.FILTER($C:$C,($F:$F=BZ$1)*($B:$B=$I8))),"")</f>
        <v/>
      </c>
      <c r="CA8" s="3" cm="1">
        <f t="array" ref="CA8">IFERROR(AVERAGE(_xlfn._xlws.FILTER($C:$C,($F:$F=CA$1)*($B:$B=$I8))),"")</f>
        <v>40.902831325063403</v>
      </c>
      <c r="CB8" s="3" cm="1">
        <f t="array" ref="CB8">IFERROR(AVERAGE(_xlfn._xlws.FILTER($C:$C,($F:$F=CB$1)*($B:$B=$I8))),"")</f>
        <v>22.808862140971499</v>
      </c>
      <c r="CC8" s="3" cm="1">
        <f t="array" ref="CC8">IFERROR(AVERAGE(_xlfn._xlws.FILTER($C:$C,($F:$F=CC$1)*($B:$B=$I8))),"")</f>
        <v>57.621513745020231</v>
      </c>
      <c r="CD8" s="3" t="str" cm="1">
        <f t="array" ref="CD8">IFERROR(AVERAGE(_xlfn._xlws.FILTER($C:$C,($F:$F=CD$1)*($B:$B=$I8))),"")</f>
        <v/>
      </c>
      <c r="CE8" s="3" cm="1">
        <f t="array" ref="CE8">IFERROR(AVERAGE(_xlfn._xlws.FILTER($C:$C,($F:$F=CE$1)*($B:$B=$I8))),"")</f>
        <v>77.646033594347998</v>
      </c>
      <c r="CF8" s="3" cm="1">
        <f t="array" ref="CF8">IFERROR(AVERAGE(_xlfn._xlws.FILTER($C:$C,($F:$F=CF$1)*($B:$B=$I8))),"")</f>
        <v>13.5338379862305</v>
      </c>
      <c r="CG8" s="3" cm="1">
        <f t="array" ref="CG8">IFERROR(AVERAGE(_xlfn._xlws.FILTER($C:$C,($F:$F=CG$1)*($B:$B=$I8))),"")</f>
        <v>42.478994852404362</v>
      </c>
      <c r="CH8" s="3" cm="1">
        <f t="array" ref="CH8">IFERROR(AVERAGE(_xlfn._xlws.FILTER($C:$C,($F:$F=CH$1)*($B:$B=$I8))),"")</f>
        <v>60.176351709888998</v>
      </c>
      <c r="CI8" s="3" cm="1">
        <f t="array" ref="CI8">IFERROR(AVERAGE(_xlfn._xlws.FILTER($C:$C,($F:$F=CI$1)*($B:$B=$I8))),"")</f>
        <v>34.51623138890637</v>
      </c>
      <c r="CJ8" s="3" cm="1">
        <f t="array" ref="CJ8">IFERROR(AVERAGE(_xlfn._xlws.FILTER($C:$C,($F:$F=CJ$1)*($B:$B=$I8))),"")</f>
        <v>39.369158189591602</v>
      </c>
      <c r="CK8" s="3" cm="1">
        <f t="array" ref="CK8">IFERROR(AVERAGE(_xlfn._xlws.FILTER($C:$C,($F:$F=CK$1)*($B:$B=$I8))),"")</f>
        <v>50.283143043527403</v>
      </c>
      <c r="CL8" s="3" cm="1">
        <f t="array" ref="CL8">IFERROR(AVERAGE(_xlfn._xlws.FILTER($C:$C,($F:$F=CL$1)*($B:$B=$I8))),"")</f>
        <v>19.393308211371824</v>
      </c>
      <c r="CM8" s="3" cm="1">
        <f t="array" ref="CM8">IFERROR(AVERAGE(_xlfn._xlws.FILTER($C:$C,($F:$F=CM$1)*($B:$B=$I8))),"")</f>
        <v>46.419533851276398</v>
      </c>
      <c r="CN8" s="3" cm="1">
        <f t="array" ref="CN8">IFERROR(AVERAGE(_xlfn._xlws.FILTER($C:$C,($F:$F=CN$1)*($B:$B=$I8))),"")</f>
        <v>58.991465212574454</v>
      </c>
      <c r="CO8" s="3" cm="1">
        <f t="array" ref="CO8">IFERROR(AVERAGE(_xlfn._xlws.FILTER($C:$C,($F:$F=CO$1)*($B:$B=$I8))),"")</f>
        <v>11.827000503021612</v>
      </c>
      <c r="CP8" s="3" cm="1">
        <f t="array" ref="CP8">IFERROR(AVERAGE(_xlfn._xlws.FILTER($C:$C,($F:$F=CP$1)*($B:$B=$I8))),"")</f>
        <v>29.69942356932933</v>
      </c>
      <c r="CQ8" s="3" cm="1">
        <f t="array" ref="CQ8">IFERROR(AVERAGE(_xlfn._xlws.FILTER($C:$C,($F:$F=CQ$1)*($B:$B=$I8))),"")</f>
        <v>70.040876589014701</v>
      </c>
      <c r="CR8" s="3" cm="1">
        <f t="array" ref="CR8">IFERROR(AVERAGE(_xlfn._xlws.FILTER($C:$C,($F:$F=CR$1)*($B:$B=$I8))),"")</f>
        <v>8.7541209272483904</v>
      </c>
      <c r="CS8" s="3" cm="1">
        <f t="array" ref="CS8">IFERROR(AVERAGE(_xlfn._xlws.FILTER($C:$C,($F:$F=CS$1)*($B:$B=$I8))),"")</f>
        <v>6.1763478036561139</v>
      </c>
      <c r="CT8" s="3" cm="1">
        <f t="array" ref="CT8">IFERROR(AVERAGE(_xlfn._xlws.FILTER($C:$C,($F:$F=CT$1)*($B:$B=$I8))),"")</f>
        <v>43.814048187031666</v>
      </c>
      <c r="CU8" s="3" cm="1">
        <f t="array" ref="CU8">IFERROR(AVERAGE(_xlfn._xlws.FILTER($C:$C,($F:$F=CU$1)*($B:$B=$I8))),"")</f>
        <v>13.655317449549701</v>
      </c>
      <c r="CV8" s="3" cm="1">
        <f t="array" ref="CV8">IFERROR(AVERAGE(_xlfn._xlws.FILTER($C:$C,($F:$F=CV$1)*($B:$B=$I8))),"")</f>
        <v>31.6460397681298</v>
      </c>
      <c r="CW8" s="3" cm="1">
        <f t="array" ref="CW8">IFERROR(AVERAGE(_xlfn._xlws.FILTER($C:$C,($F:$F=CW$1)*($B:$B=$I8))),"")</f>
        <v>17.197576035128566</v>
      </c>
      <c r="CX8" s="3" cm="1">
        <f t="array" ref="CX8">IFERROR(AVERAGE(_xlfn._xlws.FILTER($C:$C,($F:$F=CX$1)*($B:$B=$I8))),"")</f>
        <v>28.628048899832049</v>
      </c>
      <c r="CY8" s="3" cm="1">
        <f t="array" ref="CY8">IFERROR(AVERAGE(_xlfn._xlws.FILTER($C:$C,($F:$F=CY$1)*($B:$B=$I8))),"")</f>
        <v>52.335645419675942</v>
      </c>
      <c r="CZ8" s="3" cm="1">
        <f t="array" ref="CZ8">IFERROR(AVERAGE(_xlfn._xlws.FILTER($C:$C,($F:$F=CZ$1)*($B:$B=$I8))),"")</f>
        <v>23.610180068161249</v>
      </c>
      <c r="DA8" s="3" cm="1">
        <f t="array" ref="DA8">IFERROR(AVERAGE(_xlfn._xlws.FILTER($C:$C,($F:$F=DA$1)*($B:$B=$I8))),"")</f>
        <v>37.847848326306362</v>
      </c>
      <c r="DB8" s="3" cm="1">
        <f t="array" ref="DB8">IFERROR(AVERAGE(_xlfn._xlws.FILTER($C:$C,($F:$F=DB$1)*($B:$B=$I8))),"")</f>
        <v>17.5212183859134</v>
      </c>
      <c r="DC8" s="3" t="str" cm="1">
        <f t="array" ref="DC8">IFERROR(AVERAGE(_xlfn._xlws.FILTER($C:$C,($F:$F=DC$1)*($B:$B=$I8))),"")</f>
        <v/>
      </c>
      <c r="DD8" s="3" t="str" cm="1">
        <f t="array" ref="DD8">IFERROR(AVERAGE(_xlfn._xlws.FILTER($C:$C,($F:$F=DD$1)*($B:$B=$I8))),"")</f>
        <v/>
      </c>
      <c r="DE8" s="3" cm="1">
        <f t="array" ref="DE8">IFERROR(AVERAGE(_xlfn._xlws.FILTER($C:$C,($F:$F=DE$1)*($B:$B=$I8))),"")</f>
        <v>30.072453835219449</v>
      </c>
      <c r="DF8" s="3" cm="1">
        <f t="array" ref="DF8">IFERROR(AVERAGE(_xlfn._xlws.FILTER($C:$C,($F:$F=DF$1)*($B:$B=$I8))),"")</f>
        <v>51.32007467547394</v>
      </c>
      <c r="DG8" s="3" cm="1">
        <f t="array" ref="DG8">IFERROR(AVERAGE(_xlfn._xlws.FILTER($C:$C,($F:$F=DG$1)*($B:$B=$I8))),"")</f>
        <v>25.015245609886598</v>
      </c>
      <c r="DH8" s="3" t="str" cm="1">
        <f t="array" ref="DH8">IFERROR(AVERAGE(_xlfn._xlws.FILTER($C:$C,($F:$F=DH$1)*($B:$B=$I8))),"")</f>
        <v/>
      </c>
      <c r="DI8" s="3" cm="1">
        <f t="array" ref="DI8">IFERROR(AVERAGE(_xlfn._xlws.FILTER($C:$C,($F:$F=DI$1)*($B:$B=$I8))),"")</f>
        <v>17.857713629420399</v>
      </c>
      <c r="DJ8" s="3" cm="1">
        <f t="array" ref="DJ8">IFERROR(AVERAGE(_xlfn._xlws.FILTER($C:$C,($F:$F=DJ$1)*($B:$B=$I8))),"")</f>
        <v>38.799999999999997</v>
      </c>
      <c r="DK8" s="3" cm="1">
        <f t="array" ref="DK8">IFERROR(AVERAGE(_xlfn._xlws.FILTER($C:$C,($F:$F=DK$1)*($B:$B=$I8))),"")</f>
        <v>32.047898411932401</v>
      </c>
      <c r="DL8" s="3" cm="1">
        <f t="array" ref="DL8">IFERROR(AVERAGE(_xlfn._xlws.FILTER($C:$C,($F:$F=DL$1)*($B:$B=$I8))),"")</f>
        <v>19.748906756947399</v>
      </c>
      <c r="DM8" s="3" cm="1">
        <f t="array" ref="DM8">IFERROR(AVERAGE(_xlfn._xlws.FILTER($C:$C,($F:$F=DM$1)*($B:$B=$I8))),"")</f>
        <v>18.840054715981285</v>
      </c>
      <c r="DN8" s="3" cm="1">
        <f t="array" ref="DN8">IFERROR(AVERAGE(_xlfn._xlws.FILTER($C:$C,($F:$F=DN$1)*($B:$B=$I8))),"")</f>
        <v>81.967213114754102</v>
      </c>
      <c r="DO8" s="3" cm="1">
        <f t="array" ref="DO8">IFERROR(AVERAGE(_xlfn._xlws.FILTER($C:$C,($F:$F=DO$1)*($B:$B=$I8))),"")</f>
        <v>3.092871455687896</v>
      </c>
      <c r="DP8" s="3" cm="1">
        <f t="array" ref="DP8">IFERROR(AVERAGE(_xlfn._xlws.FILTER($C:$C,($F:$F=DP$1)*($B:$B=$I8))),"")</f>
        <v>86.869152862584727</v>
      </c>
      <c r="DQ8" s="3" cm="1">
        <f t="array" ref="DQ8">IFERROR(AVERAGE(_xlfn._xlws.FILTER($C:$C,($F:$F=DQ$1)*($B:$B=$I8))),"")</f>
        <v>30.230028595903008</v>
      </c>
      <c r="DR8" s="3" cm="1">
        <f t="array" ref="DR8">IFERROR(AVERAGE(_xlfn._xlws.FILTER($C:$C,($F:$F=DR$1)*($B:$B=$I8))),"")</f>
        <v>53.148438475268215</v>
      </c>
      <c r="DS8" s="3" cm="1">
        <f t="array" ref="DS8">IFERROR(AVERAGE(_xlfn._xlws.FILTER($C:$C,($F:$F=DS$1)*($B:$B=$I8))),"")</f>
        <v>27.342214844609</v>
      </c>
      <c r="DT8" s="3" t="str" cm="1">
        <f t="array" ref="DT8">IFERROR(AVERAGE(_xlfn._xlws.FILTER($C:$C,($F:$F=DT$1)*($B:$B=$I8))),"")</f>
        <v/>
      </c>
      <c r="DU8" s="3" cm="1">
        <f t="array" ref="DU8">IFERROR(AVERAGE(_xlfn._xlws.FILTER($C:$C,($F:$F=DU$1)*($B:$B=$I8))),"")</f>
        <v>4.625</v>
      </c>
      <c r="DV8" s="3" cm="1">
        <f t="array" ref="DV8">IFERROR(AVERAGE(_xlfn._xlws.FILTER($C:$C,($F:$F=DV$1)*($B:$B=$I8))),"")</f>
        <v>13.199992897979449</v>
      </c>
      <c r="DW8" s="3" cm="1">
        <f t="array" ref="DW8">IFERROR(AVERAGE(_xlfn._xlws.FILTER($C:$C,($F:$F=DW$1)*($B:$B=$I8))),"")</f>
        <v>95.8</v>
      </c>
      <c r="DX8" s="3"/>
      <c r="DZ8">
        <f t="shared" si="0"/>
        <v>95.8</v>
      </c>
      <c r="EA8" t="str" cm="1">
        <f t="array" ref="EA8">INDEX($J$1:$DW$1,0,MATCH(DZ8,J8:JDW8,0))</f>
        <v>Zimbabwe</v>
      </c>
      <c r="ED8">
        <f t="shared" si="1"/>
        <v>3.092871455687896</v>
      </c>
      <c r="EE8" t="str" cm="1">
        <f t="array" ref="EE8">INDEX($J$1:$DW$1,0,MATCH(ED8,J8:JDW8,0))</f>
        <v>Ukraine</v>
      </c>
    </row>
    <row r="9" spans="1:135" x14ac:dyDescent="0.2">
      <c r="A9">
        <v>48655992</v>
      </c>
      <c r="B9">
        <v>2019</v>
      </c>
      <c r="C9">
        <v>41.708796764408497</v>
      </c>
      <c r="D9" t="s">
        <v>707</v>
      </c>
      <c r="E9" t="s">
        <v>436</v>
      </c>
      <c r="F9" t="s">
        <v>19</v>
      </c>
      <c r="I9" s="2">
        <v>2017</v>
      </c>
      <c r="J9" s="3" cm="1">
        <f t="array" ref="J9">IFERROR(AVERAGE(_xlfn._xlws.FILTER($C:$C,($F:$F=J$1)*($B:$B=$I9))),"")</f>
        <v>18.331085757883901</v>
      </c>
      <c r="K9" s="3" cm="1">
        <f t="array" ref="K9">IFERROR(AVERAGE(_xlfn._xlws.FILTER($C:$C,($F:$F=K$1)*($B:$B=$I9))),"")</f>
        <v>40.9318930231127</v>
      </c>
      <c r="L9" s="3" cm="1">
        <f t="array" ref="L9">IFERROR(AVERAGE(_xlfn._xlws.FILTER($C:$C,($F:$F=L$1)*($B:$B=$I9))),"")</f>
        <v>49.204234546313664</v>
      </c>
      <c r="M9" s="3" cm="1">
        <f t="array" ref="M9">IFERROR(AVERAGE(_xlfn._xlws.FILTER($C:$C,($F:$F=M$1)*($B:$B=$I9))),"")</f>
        <v>12.778527949733901</v>
      </c>
      <c r="N9" s="3" cm="1">
        <f t="array" ref="N9">IFERROR(AVERAGE(_xlfn._xlws.FILTER($C:$C,($F:$F=N$1)*($B:$B=$I9))),"")</f>
        <v>54.906331910365466</v>
      </c>
      <c r="O9" s="3" cm="1">
        <f t="array" ref="O9">IFERROR(AVERAGE(_xlfn._xlws.FILTER($C:$C,($F:$F=O$1)*($B:$B=$I9))),"")</f>
        <v>27.649692261761221</v>
      </c>
      <c r="P9" s="3" cm="1">
        <f t="array" ref="P9">IFERROR(AVERAGE(_xlfn._xlws.FILTER($C:$C,($F:$F=P$1)*($B:$B=$I9))),"")</f>
        <v>13.4295538731719</v>
      </c>
      <c r="Q9" s="3" cm="1">
        <f t="array" ref="Q9">IFERROR(AVERAGE(_xlfn._xlws.FILTER($C:$C,($F:$F=Q$1)*($B:$B=$I9))),"")</f>
        <v>45.723222095581399</v>
      </c>
      <c r="R9" s="3" cm="1">
        <f t="array" ref="R9">IFERROR(AVERAGE(_xlfn._xlws.FILTER($C:$C,($F:$F=R$1)*($B:$B=$I9))),"")</f>
        <v>21.007888331931301</v>
      </c>
      <c r="S9" s="3" cm="1">
        <f t="array" ref="S9">IFERROR(AVERAGE(_xlfn._xlws.FILTER($C:$C,($F:$F=S$1)*($B:$B=$I9))),"")</f>
        <v>12.551527905449101</v>
      </c>
      <c r="T9" s="3" cm="1">
        <f t="array" ref="T9">IFERROR(AVERAGE(_xlfn._xlws.FILTER($C:$C,($F:$F=T$1)*($B:$B=$I9))),"")</f>
        <v>44.189770522058929</v>
      </c>
      <c r="U9" s="3" t="str" cm="1">
        <f t="array" ref="U9">IFERROR(AVERAGE(_xlfn._xlws.FILTER($C:$C,($F:$F=U$1)*($B:$B=$I9))),"")</f>
        <v/>
      </c>
      <c r="V9" s="3" cm="1">
        <f t="array" ref="V9">IFERROR(AVERAGE(_xlfn._xlws.FILTER($C:$C,($F:$F=V$1)*($B:$B=$I9))),"")</f>
        <v>19.554323900063551</v>
      </c>
      <c r="W9" s="3" t="str" cm="1">
        <f t="array" ref="W9">IFERROR(AVERAGE(_xlfn._xlws.FILTER($C:$C,($F:$F=W$1)*($B:$B=$I9))),"")</f>
        <v/>
      </c>
      <c r="X9" s="3" cm="1">
        <f t="array" ref="X9">IFERROR(AVERAGE(_xlfn._xlws.FILTER($C:$C,($F:$F=X$1)*($B:$B=$I9))),"")</f>
        <v>33.215125624771694</v>
      </c>
      <c r="Y9" s="3" t="str" cm="1">
        <f t="array" ref="Y9">IFERROR(AVERAGE(_xlfn._xlws.FILTER($C:$C,($F:$F=Y$1)*($B:$B=$I9))),"")</f>
        <v/>
      </c>
      <c r="Z9" s="3" cm="1">
        <f t="array" ref="Z9">IFERROR(AVERAGE(_xlfn._xlws.FILTER($C:$C,($F:$F=Z$1)*($B:$B=$I9))),"")</f>
        <v>10.516462162507356</v>
      </c>
      <c r="AA9" s="3" cm="1">
        <f t="array" ref="AA9">IFERROR(AVERAGE(_xlfn._xlws.FILTER($C:$C,($F:$F=AA$1)*($B:$B=$I9))),"")</f>
        <v>30.5</v>
      </c>
      <c r="AB9" s="3" cm="1">
        <f t="array" ref="AB9">IFERROR(AVERAGE(_xlfn._xlws.FILTER($C:$C,($F:$F=AB$1)*($B:$B=$I9))),"")</f>
        <v>51.015455286976042</v>
      </c>
      <c r="AC9" s="3" cm="1">
        <f t="array" ref="AC9">IFERROR(AVERAGE(_xlfn._xlws.FILTER($C:$C,($F:$F=AC$1)*($B:$B=$I9))),"")</f>
        <v>40.2065492909502</v>
      </c>
      <c r="AD9" s="3" cm="1">
        <f t="array" ref="AD9">IFERROR(AVERAGE(_xlfn._xlws.FILTER($C:$C,($F:$F=AD$1)*($B:$B=$I9))),"")</f>
        <v>30.834812317259427</v>
      </c>
      <c r="AE9" s="3" cm="1">
        <f t="array" ref="AE9">IFERROR(AVERAGE(_xlfn._xlws.FILTER($C:$C,($F:$F=AE$1)*($B:$B=$I9))),"")</f>
        <v>54.612036489497598</v>
      </c>
      <c r="AF9" s="3" cm="1">
        <f t="array" ref="AF9">IFERROR(AVERAGE(_xlfn._xlws.FILTER($C:$C,($F:$F=AF$1)*($B:$B=$I9))),"")</f>
        <v>25.172324664938252</v>
      </c>
      <c r="AG9" s="3" cm="1">
        <f t="array" ref="AG9">IFERROR(AVERAGE(_xlfn._xlws.FILTER($C:$C,($F:$F=AG$1)*($B:$B=$I9))),"")</f>
        <v>41.878638602776498</v>
      </c>
      <c r="AH9" s="3" cm="1">
        <f t="array" ref="AH9">IFERROR(AVERAGE(_xlfn._xlws.FILTER($C:$C,($F:$F=AH$1)*($B:$B=$I9))),"")</f>
        <v>17.621282674609766</v>
      </c>
      <c r="AI9" s="3" cm="1">
        <f t="array" ref="AI9">IFERROR(AVERAGE(_xlfn._xlws.FILTER($C:$C,($F:$F=AI$1)*($B:$B=$I9))),"")</f>
        <v>48.623738452338799</v>
      </c>
      <c r="AJ9" s="3" cm="1">
        <f t="array" ref="AJ9">IFERROR(AVERAGE(_xlfn._xlws.FILTER($C:$C,($F:$F=AJ$1)*($B:$B=$I9))),"")</f>
        <v>40.163528138528136</v>
      </c>
      <c r="AK9" s="3" cm="1">
        <f t="array" ref="AK9">IFERROR(AVERAGE(_xlfn._xlws.FILTER($C:$C,($F:$F=AK$1)*($B:$B=$I9))),"")</f>
        <v>15.991153239304001</v>
      </c>
      <c r="AL9" s="3" cm="1">
        <f t="array" ref="AL9">IFERROR(AVERAGE(_xlfn._xlws.FILTER($C:$C,($F:$F=AL$1)*($B:$B=$I9))),"")</f>
        <v>61</v>
      </c>
      <c r="AM9" s="3" cm="1">
        <f t="array" ref="AM9">IFERROR(AVERAGE(_xlfn._xlws.FILTER($C:$C,($F:$F=AM$1)*($B:$B=$I9))),"")</f>
        <v>22.527697190365849</v>
      </c>
      <c r="AN9" s="3" t="str" cm="1">
        <f t="array" ref="AN9">IFERROR(AVERAGE(_xlfn._xlws.FILTER($C:$C,($F:$F=AN$1)*($B:$B=$I9))),"")</f>
        <v/>
      </c>
      <c r="AO9" s="3" cm="1">
        <f t="array" ref="AO9">IFERROR(AVERAGE(_xlfn._xlws.FILTER($C:$C,($F:$F=AO$1)*($B:$B=$I9))),"")</f>
        <v>23.494800218938135</v>
      </c>
      <c r="AP9" s="3" cm="1">
        <f t="array" ref="AP9">IFERROR(AVERAGE(_xlfn._xlws.FILTER($C:$C,($F:$F=AP$1)*($B:$B=$I9))),"")</f>
        <v>30.164571521516859</v>
      </c>
      <c r="AQ9" s="3" cm="1">
        <f t="array" ref="AQ9">IFERROR(AVERAGE(_xlfn._xlws.FILTER($C:$C,($F:$F=AQ$1)*($B:$B=$I9))),"")</f>
        <v>14.721380855566199</v>
      </c>
      <c r="AR9" s="3" cm="1">
        <f t="array" ref="AR9">IFERROR(AVERAGE(_xlfn._xlws.FILTER($C:$C,($F:$F=AR$1)*($B:$B=$I9))),"")</f>
        <v>31.978166662168007</v>
      </c>
      <c r="AS9" s="3" cm="1">
        <f t="array" ref="AS9">IFERROR(AVERAGE(_xlfn._xlws.FILTER($C:$C,($F:$F=AS$1)*($B:$B=$I9))),"")</f>
        <v>53.510187525809599</v>
      </c>
      <c r="AT9" s="3" cm="1">
        <f t="array" ref="AT9">IFERROR(AVERAGE(_xlfn._xlws.FILTER($C:$C,($F:$F=AT$1)*($B:$B=$I9))),"")</f>
        <v>25.136435986614369</v>
      </c>
      <c r="AU9" s="3" cm="1">
        <f t="array" ref="AU9">IFERROR(AVERAGE(_xlfn._xlws.FILTER($C:$C,($F:$F=AU$1)*($B:$B=$I9))),"")</f>
        <v>56.193869155190299</v>
      </c>
      <c r="AV9" s="3" t="str" cm="1">
        <f t="array" ref="AV9">IFERROR(AVERAGE(_xlfn._xlws.FILTER($C:$C,($F:$F=AV$1)*($B:$B=$I9))),"")</f>
        <v/>
      </c>
      <c r="AW9" s="3" cm="1">
        <f t="array" ref="AW9">IFERROR(AVERAGE(_xlfn._xlws.FILTER($C:$C,($F:$F=AW$1)*($B:$B=$I9))),"")</f>
        <v>14.3366825399177</v>
      </c>
      <c r="AX9" s="3" cm="1">
        <f t="array" ref="AX9">IFERROR(AVERAGE(_xlfn._xlws.FILTER($C:$C,($F:$F=AX$1)*($B:$B=$I9))),"")</f>
        <v>62.07775458359</v>
      </c>
      <c r="AY9" s="3" cm="1">
        <f t="array" ref="AY9">IFERROR(AVERAGE(_xlfn._xlws.FILTER($C:$C,($F:$F=AY$1)*($B:$B=$I9))),"")</f>
        <v>17.233501965857624</v>
      </c>
      <c r="AZ9" s="3" cm="1">
        <f t="array" ref="AZ9">IFERROR(AVERAGE(_xlfn._xlws.FILTER($C:$C,($F:$F=AZ$1)*($B:$B=$I9))),"")</f>
        <v>58.901293190307932</v>
      </c>
      <c r="BA9" s="3" cm="1">
        <f t="array" ref="BA9">IFERROR(AVERAGE(_xlfn._xlws.FILTER($C:$C,($F:$F=BA$1)*($B:$B=$I9))),"")</f>
        <v>56.488036775609103</v>
      </c>
      <c r="BB9" s="3" cm="1">
        <f t="array" ref="BB9">IFERROR(AVERAGE(_xlfn._xlws.FILTER($C:$C,($F:$F=BB$1)*($B:$B=$I9))),"")</f>
        <v>41.443393095483401</v>
      </c>
      <c r="BC9" s="3" cm="1">
        <f t="array" ref="BC9">IFERROR(AVERAGE(_xlfn._xlws.FILTER($C:$C,($F:$F=BC$1)*($B:$B=$I9))),"")</f>
        <v>53.313927451858504</v>
      </c>
      <c r="BD9" s="3" cm="1">
        <f t="array" ref="BD9">IFERROR(AVERAGE(_xlfn._xlws.FILTER($C:$C,($F:$F=BD$1)*($B:$B=$I9))),"")</f>
        <v>25.795356003662771</v>
      </c>
      <c r="BE9" s="3" cm="1">
        <f t="array" ref="BE9">IFERROR(AVERAGE(_xlfn._xlws.FILTER($C:$C,($F:$F=BE$1)*($B:$B=$I9))),"")</f>
        <v>29.981428018772974</v>
      </c>
      <c r="BF9" s="3" t="str" cm="1">
        <f t="array" ref="BF9">IFERROR(AVERAGE(_xlfn._xlws.FILTER($C:$C,($F:$F=BF$1)*($B:$B=$I9))),"")</f>
        <v/>
      </c>
      <c r="BG9" s="3" cm="1">
        <f t="array" ref="BG9">IFERROR(AVERAGE(_xlfn._xlws.FILTER($C:$C,($F:$F=BG$1)*($B:$B=$I9))),"")</f>
        <v>35.525972161969101</v>
      </c>
      <c r="BH9" s="3" cm="1">
        <f t="array" ref="BH9">IFERROR(AVERAGE(_xlfn._xlws.FILTER($C:$C,($F:$F=BH$1)*($B:$B=$I9))),"")</f>
        <v>50.213524801726997</v>
      </c>
      <c r="BI9" s="3" cm="1">
        <f t="array" ref="BI9">IFERROR(AVERAGE(_xlfn._xlws.FILTER($C:$C,($F:$F=BI$1)*($B:$B=$I9))),"")</f>
        <v>12.307651089860499</v>
      </c>
      <c r="BJ9" s="3" cm="1">
        <f t="array" ref="BJ9">IFERROR(AVERAGE(_xlfn._xlws.FILTER($C:$C,($F:$F=BJ$1)*($B:$B=$I9))),"")</f>
        <v>50.145251014553999</v>
      </c>
      <c r="BK9" s="3" t="str" cm="1">
        <f t="array" ref="BK9">IFERROR(AVERAGE(_xlfn._xlws.FILTER($C:$C,($F:$F=BK$1)*($B:$B=$I9))),"")</f>
        <v/>
      </c>
      <c r="BL9" s="3" t="str" cm="1">
        <f t="array" ref="BL9">IFERROR(AVERAGE(_xlfn._xlws.FILTER($C:$C,($F:$F=BL$1)*($B:$B=$I9))),"")</f>
        <v/>
      </c>
      <c r="BM9" s="3" cm="1">
        <f t="array" ref="BM9">IFERROR(AVERAGE(_xlfn._xlws.FILTER($C:$C,($F:$F=BM$1)*($B:$B=$I9))),"")</f>
        <v>15.4423460012045</v>
      </c>
      <c r="BN9" s="3" cm="1">
        <f t="array" ref="BN9">IFERROR(AVERAGE(_xlfn._xlws.FILTER($C:$C,($F:$F=BN$1)*($B:$B=$I9))),"")</f>
        <v>50.059988004065701</v>
      </c>
      <c r="BO9" s="3" t="str" cm="1">
        <f t="array" ref="BO9">IFERROR(AVERAGE(_xlfn._xlws.FILTER($C:$C,($F:$F=BO$1)*($B:$B=$I9))),"")</f>
        <v/>
      </c>
      <c r="BP9" s="3" cm="1">
        <f t="array" ref="BP9">IFERROR(AVERAGE(_xlfn._xlws.FILTER($C:$C,($F:$F=BP$1)*($B:$B=$I9))),"")</f>
        <v>11.888813612951532</v>
      </c>
      <c r="BQ9" s="3" cm="1">
        <f t="array" ref="BQ9">IFERROR(AVERAGE(_xlfn._xlws.FILTER($C:$C,($F:$F=BQ$1)*($B:$B=$I9))),"")</f>
        <v>49.174962968066403</v>
      </c>
      <c r="BR9" s="3" cm="1">
        <f t="array" ref="BR9">IFERROR(AVERAGE(_xlfn._xlws.FILTER($C:$C,($F:$F=BR$1)*($B:$B=$I9))),"")</f>
        <v>37.713950762016395</v>
      </c>
      <c r="BS9" s="3" t="str" cm="1">
        <f t="array" ref="BS9">IFERROR(AVERAGE(_xlfn._xlws.FILTER($C:$C,($F:$F=BS$1)*($B:$B=$I9))),"")</f>
        <v/>
      </c>
      <c r="BT9" s="3" t="str" cm="1">
        <f t="array" ref="BT9">IFERROR(AVERAGE(_xlfn._xlws.FILTER($C:$C,($F:$F=BT$1)*($B:$B=$I9))),"")</f>
        <v/>
      </c>
      <c r="BU9" s="3" cm="1">
        <f t="array" ref="BU9">IFERROR(AVERAGE(_xlfn._xlws.FILTER($C:$C,($F:$F=BU$1)*($B:$B=$I9))),"")</f>
        <v>45.562249818329001</v>
      </c>
      <c r="BV9" s="3" cm="1">
        <f t="array" ref="BV9">IFERROR(AVERAGE(_xlfn._xlws.FILTER($C:$C,($F:$F=BV$1)*($B:$B=$I9))),"")</f>
        <v>25.483047202734561</v>
      </c>
      <c r="BW9" s="3" cm="1">
        <f t="array" ref="BW9">IFERROR(AVERAGE(_xlfn._xlws.FILTER($C:$C,($F:$F=BW$1)*($B:$B=$I9))),"")</f>
        <v>13.4864444732696</v>
      </c>
      <c r="BX9" s="3" cm="1">
        <f t="array" ref="BX9">IFERROR(AVERAGE(_xlfn._xlws.FILTER($C:$C,($F:$F=BX$1)*($B:$B=$I9))),"")</f>
        <v>26.8696820420958</v>
      </c>
      <c r="BY9" s="3" cm="1">
        <f t="array" ref="BY9">IFERROR(AVERAGE(_xlfn._xlws.FILTER($C:$C,($F:$F=BY$1)*($B:$B=$I9))),"")</f>
        <v>24.00008711242155</v>
      </c>
      <c r="BZ9" s="3" cm="1">
        <f t="array" ref="BZ9">IFERROR(AVERAGE(_xlfn._xlws.FILTER($C:$C,($F:$F=BZ$1)*($B:$B=$I9))),"")</f>
        <v>77.055798284052599</v>
      </c>
      <c r="CA9" s="3" t="str" cm="1">
        <f t="array" ref="CA9">IFERROR(AVERAGE(_xlfn._xlws.FILTER($C:$C,($F:$F=CA$1)*($B:$B=$I9))),"")</f>
        <v/>
      </c>
      <c r="CB9" s="3" cm="1">
        <f t="array" ref="CB9">IFERROR(AVERAGE(_xlfn._xlws.FILTER($C:$C,($F:$F=CB$1)*($B:$B=$I9))),"")</f>
        <v>19.6326532011519</v>
      </c>
      <c r="CC9" s="3" cm="1">
        <f t="array" ref="CC9">IFERROR(AVERAGE(_xlfn._xlws.FILTER($C:$C,($F:$F=CC$1)*($B:$B=$I9))),"")</f>
        <v>60.129670802852203</v>
      </c>
      <c r="CD9" s="3" t="str" cm="1">
        <f t="array" ref="CD9">IFERROR(AVERAGE(_xlfn._xlws.FILTER($C:$C,($F:$F=CD$1)*($B:$B=$I9))),"")</f>
        <v/>
      </c>
      <c r="CE9" s="3" t="str" cm="1">
        <f t="array" ref="CE9">IFERROR(AVERAGE(_xlfn._xlws.FILTER($C:$C,($F:$F=CE$1)*($B:$B=$I9))),"")</f>
        <v/>
      </c>
      <c r="CF9" s="3" cm="1">
        <f t="array" ref="CF9">IFERROR(AVERAGE(_xlfn._xlws.FILTER($C:$C,($F:$F=CF$1)*($B:$B=$I9))),"")</f>
        <v>16.6031133786888</v>
      </c>
      <c r="CG9" s="3" cm="1">
        <f t="array" ref="CG9">IFERROR(AVERAGE(_xlfn._xlws.FILTER($C:$C,($F:$F=CG$1)*($B:$B=$I9))),"")</f>
        <v>49.734100973966122</v>
      </c>
      <c r="CH9" s="3" cm="1">
        <f t="array" ref="CH9">IFERROR(AVERAGE(_xlfn._xlws.FILTER($C:$C,($F:$F=CH$1)*($B:$B=$I9))),"")</f>
        <v>60.787115209767499</v>
      </c>
      <c r="CI9" s="3" cm="1">
        <f t="array" ref="CI9">IFERROR(AVERAGE(_xlfn._xlws.FILTER($C:$C,($F:$F=CI$1)*($B:$B=$I9))),"")</f>
        <v>29.972218494188766</v>
      </c>
      <c r="CJ9" s="3" cm="1">
        <f t="array" ref="CJ9">IFERROR(AVERAGE(_xlfn._xlws.FILTER($C:$C,($F:$F=CJ$1)*($B:$B=$I9))),"")</f>
        <v>46.478260869565197</v>
      </c>
      <c r="CK9" s="3" cm="1">
        <f t="array" ref="CK9">IFERROR(AVERAGE(_xlfn._xlws.FILTER($C:$C,($F:$F=CK$1)*($B:$B=$I9))),"")</f>
        <v>45.231441673832002</v>
      </c>
      <c r="CL9" s="3" cm="1">
        <f t="array" ref="CL9">IFERROR(AVERAGE(_xlfn._xlws.FILTER($C:$C,($F:$F=CL$1)*($B:$B=$I9))),"")</f>
        <v>15.01428781543504</v>
      </c>
      <c r="CM9" s="3" cm="1">
        <f t="array" ref="CM9">IFERROR(AVERAGE(_xlfn._xlws.FILTER($C:$C,($F:$F=CM$1)*($B:$B=$I9))),"")</f>
        <v>43.3518929101906</v>
      </c>
      <c r="CN9" s="3" cm="1">
        <f t="array" ref="CN9">IFERROR(AVERAGE(_xlfn._xlws.FILTER($C:$C,($F:$F=CN$1)*($B:$B=$I9))),"")</f>
        <v>48.259884582754502</v>
      </c>
      <c r="CO9" s="3" cm="1">
        <f t="array" ref="CO9">IFERROR(AVERAGE(_xlfn._xlws.FILTER($C:$C,($F:$F=CO$1)*($B:$B=$I9))),"")</f>
        <v>13.086951500936999</v>
      </c>
      <c r="CP9" s="3" cm="1">
        <f t="array" ref="CP9">IFERROR(AVERAGE(_xlfn._xlws.FILTER($C:$C,($F:$F=CP$1)*($B:$B=$I9))),"")</f>
        <v>30.871058255162986</v>
      </c>
      <c r="CQ9" s="3" cm="1">
        <f t="array" ref="CQ9">IFERROR(AVERAGE(_xlfn._xlws.FILTER($C:$C,($F:$F=CQ$1)*($B:$B=$I9))),"")</f>
        <v>71.530662919023598</v>
      </c>
      <c r="CR9" s="3" cm="1">
        <f t="array" ref="CR9">IFERROR(AVERAGE(_xlfn._xlws.FILTER($C:$C,($F:$F=CR$1)*($B:$B=$I9))),"")</f>
        <v>8.5717915393699649</v>
      </c>
      <c r="CS9" s="3" cm="1">
        <f t="array" ref="CS9">IFERROR(AVERAGE(_xlfn._xlws.FILTER($C:$C,($F:$F=CS$1)*($B:$B=$I9))),"")</f>
        <v>7.8349397834474832</v>
      </c>
      <c r="CT9" s="3" cm="1">
        <f t="array" ref="CT9">IFERROR(AVERAGE(_xlfn._xlws.FILTER($C:$C,($F:$F=CT$1)*($B:$B=$I9))),"")</f>
        <v>57.221171281984148</v>
      </c>
      <c r="CU9" s="3" cm="1">
        <f t="array" ref="CU9">IFERROR(AVERAGE(_xlfn._xlws.FILTER($C:$C,($F:$F=CU$1)*($B:$B=$I9))),"")</f>
        <v>15.629618566674401</v>
      </c>
      <c r="CV9" s="3" cm="1">
        <f t="array" ref="CV9">IFERROR(AVERAGE(_xlfn._xlws.FILTER($C:$C,($F:$F=CV$1)*($B:$B=$I9))),"")</f>
        <v>34.067283384726501</v>
      </c>
      <c r="CW9" s="3" cm="1">
        <f t="array" ref="CW9">IFERROR(AVERAGE(_xlfn._xlws.FILTER($C:$C,($F:$F=CW$1)*($B:$B=$I9))),"")</f>
        <v>18.4113300492611</v>
      </c>
      <c r="CX9" s="3" cm="1">
        <f t="array" ref="CX9">IFERROR(AVERAGE(_xlfn._xlws.FILTER($C:$C,($F:$F=CX$1)*($B:$B=$I9))),"")</f>
        <v>34.209085933223903</v>
      </c>
      <c r="CY9" s="3" cm="1">
        <f t="array" ref="CY9">IFERROR(AVERAGE(_xlfn._xlws.FILTER($C:$C,($F:$F=CY$1)*($B:$B=$I9))),"")</f>
        <v>67.847149013987433</v>
      </c>
      <c r="CZ9" s="3" cm="1">
        <f t="array" ref="CZ9">IFERROR(AVERAGE(_xlfn._xlws.FILTER($C:$C,($F:$F=CZ$1)*($B:$B=$I9))),"")</f>
        <v>21.103656640156402</v>
      </c>
      <c r="DA9" s="3" cm="1">
        <f t="array" ref="DA9">IFERROR(AVERAGE(_xlfn._xlws.FILTER($C:$C,($F:$F=DA$1)*($B:$B=$I9))),"")</f>
        <v>42.914223941475697</v>
      </c>
      <c r="DB9" s="3" cm="1">
        <f t="array" ref="DB9">IFERROR(AVERAGE(_xlfn._xlws.FILTER($C:$C,($F:$F=DB$1)*($B:$B=$I9))),"")</f>
        <v>17.2423884150415</v>
      </c>
      <c r="DC9" s="3" t="str" cm="1">
        <f t="array" ref="DC9">IFERROR(AVERAGE(_xlfn._xlws.FILTER($C:$C,($F:$F=DC$1)*($B:$B=$I9))),"")</f>
        <v/>
      </c>
      <c r="DD9" s="3" cm="1">
        <f t="array" ref="DD9">IFERROR(AVERAGE(_xlfn._xlws.FILTER($C:$C,($F:$F=DD$1)*($B:$B=$I9))),"")</f>
        <v>33.734619221815798</v>
      </c>
      <c r="DE9" s="3" cm="1">
        <f t="array" ref="DE9">IFERROR(AVERAGE(_xlfn._xlws.FILTER($C:$C,($F:$F=DE$1)*($B:$B=$I9))),"")</f>
        <v>32.755761641463629</v>
      </c>
      <c r="DF9" s="3" cm="1">
        <f t="array" ref="DF9">IFERROR(AVERAGE(_xlfn._xlws.FILTER($C:$C,($F:$F=DF$1)*($B:$B=$I9))),"")</f>
        <v>59.712901659466546</v>
      </c>
      <c r="DG9" s="3" cm="1">
        <f t="array" ref="DG9">IFERROR(AVERAGE(_xlfn._xlws.FILTER($C:$C,($F:$F=DG$1)*($B:$B=$I9))),"")</f>
        <v>24.9247054654974</v>
      </c>
      <c r="DH9" s="3" t="str" cm="1">
        <f t="array" ref="DH9">IFERROR(AVERAGE(_xlfn._xlws.FILTER($C:$C,($F:$F=DH$1)*($B:$B=$I9))),"")</f>
        <v/>
      </c>
      <c r="DI9" s="3" cm="1">
        <f t="array" ref="DI9">IFERROR(AVERAGE(_xlfn._xlws.FILTER($C:$C,($F:$F=DI$1)*($B:$B=$I9))),"")</f>
        <v>20.013256630761227</v>
      </c>
      <c r="DJ9" s="3" t="str" cm="1">
        <f t="array" ref="DJ9">IFERROR(AVERAGE(_xlfn._xlws.FILTER($C:$C,($F:$F=DJ$1)*($B:$B=$I9))),"")</f>
        <v/>
      </c>
      <c r="DK9" s="3" cm="1">
        <f t="array" ref="DK9">IFERROR(AVERAGE(_xlfn._xlws.FILTER($C:$C,($F:$F=DK$1)*($B:$B=$I9))),"")</f>
        <v>37.5846771169726</v>
      </c>
      <c r="DL9" s="3" cm="1">
        <f t="array" ref="DL9">IFERROR(AVERAGE(_xlfn._xlws.FILTER($C:$C,($F:$F=DL$1)*($B:$B=$I9))),"")</f>
        <v>18.419489007724302</v>
      </c>
      <c r="DM9" s="3" cm="1">
        <f t="array" ref="DM9">IFERROR(AVERAGE(_xlfn._xlws.FILTER($C:$C,($F:$F=DM$1)*($B:$B=$I9))),"")</f>
        <v>18.111468428216014</v>
      </c>
      <c r="DN9" s="3" t="str" cm="1">
        <f t="array" ref="DN9">IFERROR(AVERAGE(_xlfn._xlws.FILTER($C:$C,($F:$F=DN$1)*($B:$B=$I9))),"")</f>
        <v/>
      </c>
      <c r="DO9" s="3" cm="1">
        <f t="array" ref="DO9">IFERROR(AVERAGE(_xlfn._xlws.FILTER($C:$C,($F:$F=DO$1)*($B:$B=$I9))),"")</f>
        <v>4.0892119882377251</v>
      </c>
      <c r="DP9" s="3" cm="1">
        <f t="array" ref="DP9">IFERROR(AVERAGE(_xlfn._xlws.FILTER($C:$C,($F:$F=DP$1)*($B:$B=$I9))),"")</f>
        <v>92.390131457549231</v>
      </c>
      <c r="DQ9" s="3" cm="1">
        <f t="array" ref="DQ9">IFERROR(AVERAGE(_xlfn._xlws.FILTER($C:$C,($F:$F=DQ$1)*($B:$B=$I9))),"")</f>
        <v>33.669651938380923</v>
      </c>
      <c r="DR9" s="3" cm="1">
        <f t="array" ref="DR9">IFERROR(AVERAGE(_xlfn._xlws.FILTER($C:$C,($F:$F=DR$1)*($B:$B=$I9))),"")</f>
        <v>59.978875649241942</v>
      </c>
      <c r="DS9" s="3" cm="1">
        <f t="array" ref="DS9">IFERROR(AVERAGE(_xlfn._xlws.FILTER($C:$C,($F:$F=DS$1)*($B:$B=$I9))),"")</f>
        <v>34.8393048318501</v>
      </c>
      <c r="DT9" s="3" t="str" cm="1">
        <f t="array" ref="DT9">IFERROR(AVERAGE(_xlfn._xlws.FILTER($C:$C,($F:$F=DT$1)*($B:$B=$I9))),"")</f>
        <v/>
      </c>
      <c r="DU9" s="3" t="str" cm="1">
        <f t="array" ref="DU9">IFERROR(AVERAGE(_xlfn._xlws.FILTER($C:$C,($F:$F=DU$1)*($B:$B=$I9))),"")</f>
        <v/>
      </c>
      <c r="DV9" s="3" cm="1">
        <f t="array" ref="DV9">IFERROR(AVERAGE(_xlfn._xlws.FILTER($C:$C,($F:$F=DV$1)*($B:$B=$I9))),"")</f>
        <v>10.790183970871015</v>
      </c>
      <c r="DW9" s="3" t="str" cm="1">
        <f t="array" ref="DW9">IFERROR(AVERAGE(_xlfn._xlws.FILTER($C:$C,($F:$F=DW$1)*($B:$B=$I9))),"")</f>
        <v/>
      </c>
      <c r="DX9" s="3"/>
      <c r="DZ9">
        <f t="shared" si="0"/>
        <v>92.390131457549231</v>
      </c>
      <c r="EA9" t="str" cm="1">
        <f t="array" ref="EA9">INDEX($J$1:$DW$1,0,MATCH(DZ9,J9:JDW9,0))</f>
        <v>United Arab Emirates</v>
      </c>
      <c r="ED9">
        <f t="shared" si="1"/>
        <v>4.0892119882377251</v>
      </c>
      <c r="EE9" t="str" cm="1">
        <f t="array" ref="EE9">INDEX($J$1:$DW$1,0,MATCH(ED9,J9:JDW9,0))</f>
        <v>Ukraine</v>
      </c>
    </row>
    <row r="10" spans="1:135" x14ac:dyDescent="0.2">
      <c r="A10">
        <v>48655992</v>
      </c>
      <c r="B10">
        <v>2018</v>
      </c>
      <c r="C10">
        <v>38.461181394867701</v>
      </c>
      <c r="D10" t="s">
        <v>707</v>
      </c>
      <c r="E10" t="s">
        <v>436</v>
      </c>
      <c r="F10" t="s">
        <v>19</v>
      </c>
      <c r="I10" s="2">
        <v>2018</v>
      </c>
      <c r="J10" s="3" cm="1">
        <f t="array" ref="J10">IFERROR(AVERAGE(_xlfn._xlws.FILTER($C:$C,($F:$F=J$1)*($B:$B=$I10))),"")</f>
        <v>24.5472963471701</v>
      </c>
      <c r="K10" s="3" cm="1">
        <f t="array" ref="K10">IFERROR(AVERAGE(_xlfn._xlws.FILTER($C:$C,($F:$F=K$1)*($B:$B=$I10))),"")</f>
        <v>19.7407947815638</v>
      </c>
      <c r="L10" s="3" cm="1">
        <f t="array" ref="L10">IFERROR(AVERAGE(_xlfn._xlws.FILTER($C:$C,($F:$F=L$1)*($B:$B=$I10))),"")</f>
        <v>47.471820287404249</v>
      </c>
      <c r="M10" s="3" cm="1">
        <f t="array" ref="M10">IFERROR(AVERAGE(_xlfn._xlws.FILTER($C:$C,($F:$F=M$1)*($B:$B=$I10))),"")</f>
        <v>16.4799828955571</v>
      </c>
      <c r="N10" s="3" cm="1">
        <f t="array" ref="N10">IFERROR(AVERAGE(_xlfn._xlws.FILTER($C:$C,($F:$F=N$1)*($B:$B=$I10))),"")</f>
        <v>55.556140500950576</v>
      </c>
      <c r="O10" s="3" cm="1">
        <f t="array" ref="O10">IFERROR(AVERAGE(_xlfn._xlws.FILTER($C:$C,($F:$F=O$1)*($B:$B=$I10))),"")</f>
        <v>35.328130759226234</v>
      </c>
      <c r="P10" s="3" cm="1">
        <f t="array" ref="P10">IFERROR(AVERAGE(_xlfn._xlws.FILTER($C:$C,($F:$F=P$1)*($B:$B=$I10))),"")</f>
        <v>14.080134256345699</v>
      </c>
      <c r="Q10" s="3" cm="1">
        <f t="array" ref="Q10">IFERROR(AVERAGE(_xlfn._xlws.FILTER($C:$C,($F:$F=Q$1)*($B:$B=$I10))),"")</f>
        <v>41.300762210861599</v>
      </c>
      <c r="R10" s="3" cm="1">
        <f t="array" ref="R10">IFERROR(AVERAGE(_xlfn._xlws.FILTER($C:$C,($F:$F=R$1)*($B:$B=$I10))),"")</f>
        <v>27.991546917157901</v>
      </c>
      <c r="S10" s="3" cm="1">
        <f t="array" ref="S10">IFERROR(AVERAGE(_xlfn._xlws.FILTER($C:$C,($F:$F=S$1)*($B:$B=$I10))),"")</f>
        <v>14.1238910399723</v>
      </c>
      <c r="T10" s="3" cm="1">
        <f t="array" ref="T10">IFERROR(AVERAGE(_xlfn._xlws.FILTER($C:$C,($F:$F=T$1)*($B:$B=$I10))),"")</f>
        <v>55.227399535469154</v>
      </c>
      <c r="U10" s="3" cm="1">
        <f t="array" ref="U10">IFERROR(AVERAGE(_xlfn._xlws.FILTER($C:$C,($F:$F=U$1)*($B:$B=$I10))),"")</f>
        <v>43.105322265701503</v>
      </c>
      <c r="V10" s="3" cm="1">
        <f t="array" ref="V10">IFERROR(AVERAGE(_xlfn._xlws.FILTER($C:$C,($F:$F=V$1)*($B:$B=$I10))),"")</f>
        <v>24.663203710052848</v>
      </c>
      <c r="W10" s="3" cm="1">
        <f t="array" ref="W10">IFERROR(AVERAGE(_xlfn._xlws.FILTER($C:$C,($F:$F=W$1)*($B:$B=$I10))),"")</f>
        <v>58.300328311262597</v>
      </c>
      <c r="X10" s="3" cm="1">
        <f t="array" ref="X10">IFERROR(AVERAGE(_xlfn._xlws.FILTER($C:$C,($F:$F=X$1)*($B:$B=$I10))),"")</f>
        <v>35.226098398403551</v>
      </c>
      <c r="Y10" s="3" cm="1">
        <f t="array" ref="Y10">IFERROR(AVERAGE(_xlfn._xlws.FILTER($C:$C,($F:$F=Y$1)*($B:$B=$I10))),"")</f>
        <v>93.732780446286</v>
      </c>
      <c r="Z10" s="3" cm="1">
        <f t="array" ref="Z10">IFERROR(AVERAGE(_xlfn._xlws.FILTER($C:$C,($F:$F=Z$1)*($B:$B=$I10))),"")</f>
        <v>11.683590011302439</v>
      </c>
      <c r="AA10" s="3" cm="1">
        <f t="array" ref="AA10">IFERROR(AVERAGE(_xlfn._xlws.FILTER($C:$C,($F:$F=AA$1)*($B:$B=$I10))),"")</f>
        <v>33.6666666666667</v>
      </c>
      <c r="AB10" s="3" cm="1">
        <f t="array" ref="AB10">IFERROR(AVERAGE(_xlfn._xlws.FILTER($C:$C,($F:$F=AB$1)*($B:$B=$I10))),"")</f>
        <v>57.113330839947743</v>
      </c>
      <c r="AC10" s="3" cm="1">
        <f t="array" ref="AC10">IFERROR(AVERAGE(_xlfn._xlws.FILTER($C:$C,($F:$F=AC$1)*($B:$B=$I10))),"")</f>
        <v>41.343391781070203</v>
      </c>
      <c r="AD10" s="3" cm="1">
        <f t="array" ref="AD10">IFERROR(AVERAGE(_xlfn._xlws.FILTER($C:$C,($F:$F=AD$1)*($B:$B=$I10))),"")</f>
        <v>34.298707222937139</v>
      </c>
      <c r="AE10" s="3" cm="1">
        <f t="array" ref="AE10">IFERROR(AVERAGE(_xlfn._xlws.FILTER($C:$C,($F:$F=AE$1)*($B:$B=$I10))),"")</f>
        <v>77.489833724150103</v>
      </c>
      <c r="AF10" s="3" cm="1">
        <f t="array" ref="AF10">IFERROR(AVERAGE(_xlfn._xlws.FILTER($C:$C,($F:$F=AF$1)*($B:$B=$I10))),"")</f>
        <v>25.450432310241617</v>
      </c>
      <c r="AG10" s="3" cm="1">
        <f t="array" ref="AG10">IFERROR(AVERAGE(_xlfn._xlws.FILTER($C:$C,($F:$F=AG$1)*($B:$B=$I10))),"")</f>
        <v>47.111604188563248</v>
      </c>
      <c r="AH10" s="3" cm="1">
        <f t="array" ref="AH10">IFERROR(AVERAGE(_xlfn._xlws.FILTER($C:$C,($F:$F=AH$1)*($B:$B=$I10))),"")</f>
        <v>20.584897043966468</v>
      </c>
      <c r="AI10" s="3" cm="1">
        <f t="array" ref="AI10">IFERROR(AVERAGE(_xlfn._xlws.FILTER($C:$C,($F:$F=AI$1)*($B:$B=$I10))),"")</f>
        <v>61.392054350417503</v>
      </c>
      <c r="AJ10" s="3" cm="1">
        <f t="array" ref="AJ10">IFERROR(AVERAGE(_xlfn._xlws.FILTER($C:$C,($F:$F=AJ$1)*($B:$B=$I10))),"")</f>
        <v>40.340476190476203</v>
      </c>
      <c r="AK10" s="3" cm="1">
        <f t="array" ref="AK10">IFERROR(AVERAGE(_xlfn._xlws.FILTER($C:$C,($F:$F=AK$1)*($B:$B=$I10))),"")</f>
        <v>16.4490400144837</v>
      </c>
      <c r="AL10" s="3" cm="1">
        <f t="array" ref="AL10">IFERROR(AVERAGE(_xlfn._xlws.FILTER($C:$C,($F:$F=AL$1)*($B:$B=$I10))),"")</f>
        <v>46.8888888888889</v>
      </c>
      <c r="AM10" s="3" cm="1">
        <f t="array" ref="AM10">IFERROR(AVERAGE(_xlfn._xlws.FILTER($C:$C,($F:$F=AM$1)*($B:$B=$I10))),"")</f>
        <v>26.388419372617001</v>
      </c>
      <c r="AN10" s="3" t="str" cm="1">
        <f t="array" ref="AN10">IFERROR(AVERAGE(_xlfn._xlws.FILTER($C:$C,($F:$F=AN$1)*($B:$B=$I10))),"")</f>
        <v/>
      </c>
      <c r="AO10" s="3" cm="1">
        <f t="array" ref="AO10">IFERROR(AVERAGE(_xlfn._xlws.FILTER($C:$C,($F:$F=AO$1)*($B:$B=$I10))),"")</f>
        <v>26.38309615566418</v>
      </c>
      <c r="AP10" s="3" cm="1">
        <f t="array" ref="AP10">IFERROR(AVERAGE(_xlfn._xlws.FILTER($C:$C,($F:$F=AP$1)*($B:$B=$I10))),"")</f>
        <v>33.428754381351453</v>
      </c>
      <c r="AQ10" s="3" cm="1">
        <f t="array" ref="AQ10">IFERROR(AVERAGE(_xlfn._xlws.FILTER($C:$C,($F:$F=AQ$1)*($B:$B=$I10))),"")</f>
        <v>16.687682432812601</v>
      </c>
      <c r="AR10" s="3" cm="1">
        <f t="array" ref="AR10">IFERROR(AVERAGE(_xlfn._xlws.FILTER($C:$C,($F:$F=AR$1)*($B:$B=$I10))),"")</f>
        <v>34.612606275806776</v>
      </c>
      <c r="AS10" s="3" t="str" cm="1">
        <f t="array" ref="AS10">IFERROR(AVERAGE(_xlfn._xlws.FILTER($C:$C,($F:$F=AS$1)*($B:$B=$I10))),"")</f>
        <v/>
      </c>
      <c r="AT10" s="3" cm="1">
        <f t="array" ref="AT10">IFERROR(AVERAGE(_xlfn._xlws.FILTER($C:$C,($F:$F=AT$1)*($B:$B=$I10))),"")</f>
        <v>34.321480778759678</v>
      </c>
      <c r="AU10" s="3" cm="1">
        <f t="array" ref="AU10">IFERROR(AVERAGE(_xlfn._xlws.FILTER($C:$C,($F:$F=AU$1)*($B:$B=$I10))),"")</f>
        <v>73.305537211518498</v>
      </c>
      <c r="AV10" s="3" cm="1">
        <f t="array" ref="AV10">IFERROR(AVERAGE(_xlfn._xlws.FILTER($C:$C,($F:$F=AV$1)*($B:$B=$I10))),"")</f>
        <v>37.5555555555556</v>
      </c>
      <c r="AW10" s="3" cm="1">
        <f t="array" ref="AW10">IFERROR(AVERAGE(_xlfn._xlws.FILTER($C:$C,($F:$F=AW$1)*($B:$B=$I10))),"")</f>
        <v>14.213766790917433</v>
      </c>
      <c r="AX10" s="3" cm="1">
        <f t="array" ref="AX10">IFERROR(AVERAGE(_xlfn._xlws.FILTER($C:$C,($F:$F=AX$1)*($B:$B=$I10))),"")</f>
        <v>68.283680760682998</v>
      </c>
      <c r="AY10" s="3" cm="1">
        <f t="array" ref="AY10">IFERROR(AVERAGE(_xlfn._xlws.FILTER($C:$C,($F:$F=AY$1)*($B:$B=$I10))),"")</f>
        <v>13.305880830070587</v>
      </c>
      <c r="AZ10" s="3" cm="1">
        <f t="array" ref="AZ10">IFERROR(AVERAGE(_xlfn._xlws.FILTER($C:$C,($F:$F=AZ$1)*($B:$B=$I10))),"")</f>
        <v>32.992226048008199</v>
      </c>
      <c r="BA10" s="3" cm="1">
        <f t="array" ref="BA10">IFERROR(AVERAGE(_xlfn._xlws.FILTER($C:$C,($F:$F=BA$1)*($B:$B=$I10))),"")</f>
        <v>27.544642779527567</v>
      </c>
      <c r="BB10" s="3" cm="1">
        <f t="array" ref="BB10">IFERROR(AVERAGE(_xlfn._xlws.FILTER($C:$C,($F:$F=BB$1)*($B:$B=$I10))),"")</f>
        <v>40.075298438934801</v>
      </c>
      <c r="BC10" s="3" cm="1">
        <f t="array" ref="BC10">IFERROR(AVERAGE(_xlfn._xlws.FILTER($C:$C,($F:$F=BC$1)*($B:$B=$I10))),"")</f>
        <v>65.655614864164448</v>
      </c>
      <c r="BD10" s="3" cm="1">
        <f t="array" ref="BD10">IFERROR(AVERAGE(_xlfn._xlws.FILTER($C:$C,($F:$F=BD$1)*($B:$B=$I10))),"")</f>
        <v>26.697303889636498</v>
      </c>
      <c r="BE10" s="3" cm="1">
        <f t="array" ref="BE10">IFERROR(AVERAGE(_xlfn._xlws.FILTER($C:$C,($F:$F=BE$1)*($B:$B=$I10))),"")</f>
        <v>33.054193720591442</v>
      </c>
      <c r="BF10" s="3" cm="1">
        <f t="array" ref="BF10">IFERROR(AVERAGE(_xlfn._xlws.FILTER($C:$C,($F:$F=BF$1)*($B:$B=$I10))),"")</f>
        <v>41.956239912456702</v>
      </c>
      <c r="BG10" s="3" cm="1">
        <f t="array" ref="BG10">IFERROR(AVERAGE(_xlfn._xlws.FILTER($C:$C,($F:$F=BG$1)*($B:$B=$I10))),"")</f>
        <v>41.481384639806599</v>
      </c>
      <c r="BH10" s="3" cm="1">
        <f t="array" ref="BH10">IFERROR(AVERAGE(_xlfn._xlws.FILTER($C:$C,($F:$F=BH$1)*($B:$B=$I10))),"")</f>
        <v>45.393042735548697</v>
      </c>
      <c r="BI10" s="3" cm="1">
        <f t="array" ref="BI10">IFERROR(AVERAGE(_xlfn._xlws.FILTER($C:$C,($F:$F=BI$1)*($B:$B=$I10))),"")</f>
        <v>12.465708072237801</v>
      </c>
      <c r="BJ10" s="3" cm="1">
        <f t="array" ref="BJ10">IFERROR(AVERAGE(_xlfn._xlws.FILTER($C:$C,($F:$F=BJ$1)*($B:$B=$I10))),"")</f>
        <v>65.744184781487306</v>
      </c>
      <c r="BK10" s="3" cm="1">
        <f t="array" ref="BK10">IFERROR(AVERAGE(_xlfn._xlws.FILTER($C:$C,($F:$F=BK$1)*($B:$B=$I10))),"")</f>
        <v>27.3959716069728</v>
      </c>
      <c r="BL10" s="3" cm="1">
        <f t="array" ref="BL10">IFERROR(AVERAGE(_xlfn._xlws.FILTER($C:$C,($F:$F=BL$1)*($B:$B=$I10))),"")</f>
        <v>16.079163510460901</v>
      </c>
      <c r="BM10" s="3" cm="1">
        <f t="array" ref="BM10">IFERROR(AVERAGE(_xlfn._xlws.FILTER($C:$C,($F:$F=BM$1)*($B:$B=$I10))),"")</f>
        <v>17.596718644679001</v>
      </c>
      <c r="BN10" s="3" cm="1">
        <f t="array" ref="BN10">IFERROR(AVERAGE(_xlfn._xlws.FILTER($C:$C,($F:$F=BN$1)*($B:$B=$I10))),"")</f>
        <v>45.457879104917502</v>
      </c>
      <c r="BO10" s="3" t="str" cm="1">
        <f t="array" ref="BO10">IFERROR(AVERAGE(_xlfn._xlws.FILTER($C:$C,($F:$F=BO$1)*($B:$B=$I10))),"")</f>
        <v/>
      </c>
      <c r="BP10" s="3" cm="1">
        <f t="array" ref="BP10">IFERROR(AVERAGE(_xlfn._xlws.FILTER($C:$C,($F:$F=BP$1)*($B:$B=$I10))),"")</f>
        <v>12.279757386429999</v>
      </c>
      <c r="BQ10" s="3" cm="1">
        <f t="array" ref="BQ10">IFERROR(AVERAGE(_xlfn._xlws.FILTER($C:$C,($F:$F=BQ$1)*($B:$B=$I10))),"")</f>
        <v>56.193798902253903</v>
      </c>
      <c r="BR10" s="3" cm="1">
        <f t="array" ref="BR10">IFERROR(AVERAGE(_xlfn._xlws.FILTER($C:$C,($F:$F=BR$1)*($B:$B=$I10))),"")</f>
        <v>41.149007699272936</v>
      </c>
      <c r="BS10" s="3" cm="1">
        <f t="array" ref="BS10">IFERROR(AVERAGE(_xlfn._xlws.FILTER($C:$C,($F:$F=BS$1)*($B:$B=$I10))),"")</f>
        <v>94.552810339699604</v>
      </c>
      <c r="BT10" s="3" t="str" cm="1">
        <f t="array" ref="BT10">IFERROR(AVERAGE(_xlfn._xlws.FILTER($C:$C,($F:$F=BT$1)*($B:$B=$I10))),"")</f>
        <v/>
      </c>
      <c r="BU10" s="3" cm="1">
        <f t="array" ref="BU10">IFERROR(AVERAGE(_xlfn._xlws.FILTER($C:$C,($F:$F=BU$1)*($B:$B=$I10))),"")</f>
        <v>40.520672112915101</v>
      </c>
      <c r="BV10" s="3" cm="1">
        <f t="array" ref="BV10">IFERROR(AVERAGE(_xlfn._xlws.FILTER($C:$C,($F:$F=BV$1)*($B:$B=$I10))),"")</f>
        <v>26.907131288221009</v>
      </c>
      <c r="BW10" s="3" t="str" cm="1">
        <f t="array" ref="BW10">IFERROR(AVERAGE(_xlfn._xlws.FILTER($C:$C,($F:$F=BW$1)*($B:$B=$I10))),"")</f>
        <v/>
      </c>
      <c r="BX10" s="3" cm="1">
        <f t="array" ref="BX10">IFERROR(AVERAGE(_xlfn._xlws.FILTER($C:$C,($F:$F=BX$1)*($B:$B=$I10))),"")</f>
        <v>30.840048269687401</v>
      </c>
      <c r="BY10" s="3" cm="1">
        <f t="array" ref="BY10">IFERROR(AVERAGE(_xlfn._xlws.FILTER($C:$C,($F:$F=BY$1)*($B:$B=$I10))),"")</f>
        <v>31.821483425044548</v>
      </c>
      <c r="BZ10" s="3" t="str" cm="1">
        <f t="array" ref="BZ10">IFERROR(AVERAGE(_xlfn._xlws.FILTER($C:$C,($F:$F=BZ$1)*($B:$B=$I10))),"")</f>
        <v/>
      </c>
      <c r="CA10" s="3" cm="1">
        <f t="array" ref="CA10">IFERROR(AVERAGE(_xlfn._xlws.FILTER($C:$C,($F:$F=CA$1)*($B:$B=$I10))),"")</f>
        <v>72.096348660766495</v>
      </c>
      <c r="CB10" s="3" cm="1">
        <f t="array" ref="CB10">IFERROR(AVERAGE(_xlfn._xlws.FILTER($C:$C,($F:$F=CB$1)*($B:$B=$I10))),"")</f>
        <v>18.4993635637931</v>
      </c>
      <c r="CC10" s="3" cm="1">
        <f t="array" ref="CC10">IFERROR(AVERAGE(_xlfn._xlws.FILTER($C:$C,($F:$F=CC$1)*($B:$B=$I10))),"")</f>
        <v>60.509172629152843</v>
      </c>
      <c r="CD10" s="3" cm="1">
        <f t="array" ref="CD10">IFERROR(AVERAGE(_xlfn._xlws.FILTER($C:$C,($F:$F=CD$1)*($B:$B=$I10))),"")</f>
        <v>57.139433813835602</v>
      </c>
      <c r="CE10" s="3" cm="1">
        <f t="array" ref="CE10">IFERROR(AVERAGE(_xlfn._xlws.FILTER($C:$C,($F:$F=CE$1)*($B:$B=$I10))),"")</f>
        <v>41.500363320945397</v>
      </c>
      <c r="CF10" s="3" cm="1">
        <f t="array" ref="CF10">IFERROR(AVERAGE(_xlfn._xlws.FILTER($C:$C,($F:$F=CF$1)*($B:$B=$I10))),"")</f>
        <v>19.817501278476598</v>
      </c>
      <c r="CG10" s="3" cm="1">
        <f t="array" ref="CG10">IFERROR(AVERAGE(_xlfn._xlws.FILTER($C:$C,($F:$F=CG$1)*($B:$B=$I10))),"")</f>
        <v>61.613095487026371</v>
      </c>
      <c r="CH10" s="3" cm="1">
        <f t="array" ref="CH10">IFERROR(AVERAGE(_xlfn._xlws.FILTER($C:$C,($F:$F=CH$1)*($B:$B=$I10))),"")</f>
        <v>73.017412671308804</v>
      </c>
      <c r="CI10" s="3" cm="1">
        <f t="array" ref="CI10">IFERROR(AVERAGE(_xlfn._xlws.FILTER($C:$C,($F:$F=CI$1)*($B:$B=$I10))),"")</f>
        <v>23.499302948714337</v>
      </c>
      <c r="CJ10" s="3" cm="1">
        <f t="array" ref="CJ10">IFERROR(AVERAGE(_xlfn._xlws.FILTER($C:$C,($F:$F=CJ$1)*($B:$B=$I10))),"")</f>
        <v>55.153846153846203</v>
      </c>
      <c r="CK10" s="3" cm="1">
        <f t="array" ref="CK10">IFERROR(AVERAGE(_xlfn._xlws.FILTER($C:$C,($F:$F=CK$1)*($B:$B=$I10))),"")</f>
        <v>32.865484099066997</v>
      </c>
      <c r="CL10" s="3" cm="1">
        <f t="array" ref="CL10">IFERROR(AVERAGE(_xlfn._xlws.FILTER($C:$C,($F:$F=CL$1)*($B:$B=$I10))),"")</f>
        <v>17.133774092893589</v>
      </c>
      <c r="CM10" s="3" cm="1">
        <f t="array" ref="CM10">IFERROR(AVERAGE(_xlfn._xlws.FILTER($C:$C,($F:$F=CM$1)*($B:$B=$I10))),"")</f>
        <v>38.055619997414396</v>
      </c>
      <c r="CN10" s="3" cm="1">
        <f t="array" ref="CN10">IFERROR(AVERAGE(_xlfn._xlws.FILTER($C:$C,($F:$F=CN$1)*($B:$B=$I10))),"")</f>
        <v>53.238945901431649</v>
      </c>
      <c r="CO10" s="3" cm="1">
        <f t="array" ref="CO10">IFERROR(AVERAGE(_xlfn._xlws.FILTER($C:$C,($F:$F=CO$1)*($B:$B=$I10))),"")</f>
        <v>14.666971067874901</v>
      </c>
      <c r="CP10" s="3" cm="1">
        <f t="array" ref="CP10">IFERROR(AVERAGE(_xlfn._xlws.FILTER($C:$C,($F:$F=CP$1)*($B:$B=$I10))),"")</f>
        <v>38.915974761545826</v>
      </c>
      <c r="CQ10" s="3" cm="1">
        <f t="array" ref="CQ10">IFERROR(AVERAGE(_xlfn._xlws.FILTER($C:$C,($F:$F=CQ$1)*($B:$B=$I10))),"")</f>
        <v>84.780990052455394</v>
      </c>
      <c r="CR10" s="3" cm="1">
        <f t="array" ref="CR10">IFERROR(AVERAGE(_xlfn._xlws.FILTER($C:$C,($F:$F=CR$1)*($B:$B=$I10))),"")</f>
        <v>9.5024872892718495</v>
      </c>
      <c r="CS10" s="3" cm="1">
        <f t="array" ref="CS10">IFERROR(AVERAGE(_xlfn._xlws.FILTER($C:$C,($F:$F=CS$1)*($B:$B=$I10))),"")</f>
        <v>7.8259180861777748</v>
      </c>
      <c r="CT10" s="3" cm="1">
        <f t="array" ref="CT10">IFERROR(AVERAGE(_xlfn._xlws.FILTER($C:$C,($F:$F=CT$1)*($B:$B=$I10))),"")</f>
        <v>67.182782482345914</v>
      </c>
      <c r="CU10" s="3" cm="1">
        <f t="array" ref="CU10">IFERROR(AVERAGE(_xlfn._xlws.FILTER($C:$C,($F:$F=CU$1)*($B:$B=$I10))),"")</f>
        <v>23.372873359315033</v>
      </c>
      <c r="CV10" s="3" cm="1">
        <f t="array" ref="CV10">IFERROR(AVERAGE(_xlfn._xlws.FILTER($C:$C,($F:$F=CV$1)*($B:$B=$I10))),"")</f>
        <v>31.988392555607799</v>
      </c>
      <c r="CW10" s="3" cm="1">
        <f t="array" ref="CW10">IFERROR(AVERAGE(_xlfn._xlws.FILTER($C:$C,($F:$F=CW$1)*($B:$B=$I10))),"")</f>
        <v>20.7910431954319</v>
      </c>
      <c r="CX10" s="3" cm="1">
        <f t="array" ref="CX10">IFERROR(AVERAGE(_xlfn._xlws.FILTER($C:$C,($F:$F=CX$1)*($B:$B=$I10))),"")</f>
        <v>39.418003460979051</v>
      </c>
      <c r="CY10" s="3" cm="1">
        <f t="array" ref="CY10">IFERROR(AVERAGE(_xlfn._xlws.FILTER($C:$C,($F:$F=CY$1)*($B:$B=$I10))),"")</f>
        <v>75.798260984488707</v>
      </c>
      <c r="CZ10" s="3" cm="1">
        <f t="array" ref="CZ10">IFERROR(AVERAGE(_xlfn._xlws.FILTER($C:$C,($F:$F=CZ$1)*($B:$B=$I10))),"")</f>
        <v>26.029035547700001</v>
      </c>
      <c r="DA10" s="3" cm="1">
        <f t="array" ref="DA10">IFERROR(AVERAGE(_xlfn._xlws.FILTER($C:$C,($F:$F=DA$1)*($B:$B=$I10))),"")</f>
        <v>48.873388070966456</v>
      </c>
      <c r="DB10" s="3" cm="1">
        <f t="array" ref="DB10">IFERROR(AVERAGE(_xlfn._xlws.FILTER($C:$C,($F:$F=DB$1)*($B:$B=$I10))),"")</f>
        <v>16.059023627265901</v>
      </c>
      <c r="DC10" s="3" t="str" cm="1">
        <f t="array" ref="DC10">IFERROR(AVERAGE(_xlfn._xlws.FILTER($C:$C,($F:$F=DC$1)*($B:$B=$I10))),"")</f>
        <v/>
      </c>
      <c r="DD10" s="3" cm="1">
        <f t="array" ref="DD10">IFERROR(AVERAGE(_xlfn._xlws.FILTER($C:$C,($F:$F=DD$1)*($B:$B=$I10))),"")</f>
        <v>27.785216925549001</v>
      </c>
      <c r="DE10" s="3" cm="1">
        <f t="array" ref="DE10">IFERROR(AVERAGE(_xlfn._xlws.FILTER($C:$C,($F:$F=DE$1)*($B:$B=$I10))),"")</f>
        <v>32.453501858561232</v>
      </c>
      <c r="DF10" s="3" cm="1">
        <f t="array" ref="DF10">IFERROR(AVERAGE(_xlfn._xlws.FILTER($C:$C,($F:$F=DF$1)*($B:$B=$I10))),"")</f>
        <v>63.030876981366553</v>
      </c>
      <c r="DG10" s="3" cm="1">
        <f t="array" ref="DG10">IFERROR(AVERAGE(_xlfn._xlws.FILTER($C:$C,($F:$F=DG$1)*($B:$B=$I10))),"")</f>
        <v>31.594986373400602</v>
      </c>
      <c r="DH10" s="3" cm="1">
        <f t="array" ref="DH10">IFERROR(AVERAGE(_xlfn._xlws.FILTER($C:$C,($F:$F=DH$1)*($B:$B=$I10))),"")</f>
        <v>72.665629655595495</v>
      </c>
      <c r="DI10" s="3" cm="1">
        <f t="array" ref="DI10">IFERROR(AVERAGE(_xlfn._xlws.FILTER($C:$C,($F:$F=DI$1)*($B:$B=$I10))),"")</f>
        <v>23.328896609087849</v>
      </c>
      <c r="DJ10" s="3" cm="1">
        <f t="array" ref="DJ10">IFERROR(AVERAGE(_xlfn._xlws.FILTER($C:$C,($F:$F=DJ$1)*($B:$B=$I10))),"")</f>
        <v>69.285714285714306</v>
      </c>
      <c r="DK10" s="3" cm="1">
        <f t="array" ref="DK10">IFERROR(AVERAGE(_xlfn._xlws.FILTER($C:$C,($F:$F=DK$1)*($B:$B=$I10))),"")</f>
        <v>44.564054366363798</v>
      </c>
      <c r="DL10" s="3" cm="1">
        <f t="array" ref="DL10">IFERROR(AVERAGE(_xlfn._xlws.FILTER($C:$C,($F:$F=DL$1)*($B:$B=$I10))),"")</f>
        <v>20.902119225267001</v>
      </c>
      <c r="DM10" s="3" cm="1">
        <f t="array" ref="DM10">IFERROR(AVERAGE(_xlfn._xlws.FILTER($C:$C,($F:$F=DM$1)*($B:$B=$I10))),"")</f>
        <v>15.847308285011787</v>
      </c>
      <c r="DN10" s="3" cm="1">
        <f t="array" ref="DN10">IFERROR(AVERAGE(_xlfn._xlws.FILTER($C:$C,($F:$F=DN$1)*($B:$B=$I10))),"")</f>
        <v>80.844721054695796</v>
      </c>
      <c r="DO10" s="3" cm="1">
        <f t="array" ref="DO10">IFERROR(AVERAGE(_xlfn._xlws.FILTER($C:$C,($F:$F=DO$1)*($B:$B=$I10))),"")</f>
        <v>4.5456360705413896</v>
      </c>
      <c r="DP10" s="3" cm="1">
        <f t="array" ref="DP10">IFERROR(AVERAGE(_xlfn._xlws.FILTER($C:$C,($F:$F=DP$1)*($B:$B=$I10))),"")</f>
        <v>93.295469161722693</v>
      </c>
      <c r="DQ10" s="3" cm="1">
        <f t="array" ref="DQ10">IFERROR(AVERAGE(_xlfn._xlws.FILTER($C:$C,($F:$F=DQ$1)*($B:$B=$I10))),"")</f>
        <v>40.479121293043534</v>
      </c>
      <c r="DR10" s="3" cm="1">
        <f t="array" ref="DR10">IFERROR(AVERAGE(_xlfn._xlws.FILTER($C:$C,($F:$F=DR$1)*($B:$B=$I10))),"")</f>
        <v>63.227002589213022</v>
      </c>
      <c r="DS10" s="3" cm="1">
        <f t="array" ref="DS10">IFERROR(AVERAGE(_xlfn._xlws.FILTER($C:$C,($F:$F=DS$1)*($B:$B=$I10))),"")</f>
        <v>34.107564112007502</v>
      </c>
      <c r="DT10" s="3" cm="1">
        <f t="array" ref="DT10">IFERROR(AVERAGE(_xlfn._xlws.FILTER($C:$C,($F:$F=DT$1)*($B:$B=$I10))),"")</f>
        <v>35.089165019605304</v>
      </c>
      <c r="DU10" s="3" cm="1">
        <f t="array" ref="DU10">IFERROR(AVERAGE(_xlfn._xlws.FILTER($C:$C,($F:$F=DU$1)*($B:$B=$I10))),"")</f>
        <v>7.3330769230769199</v>
      </c>
      <c r="DV10" s="3" cm="1">
        <f t="array" ref="DV10">IFERROR(AVERAGE(_xlfn._xlws.FILTER($C:$C,($F:$F=DV$1)*($B:$B=$I10))),"")</f>
        <v>11.4462484031</v>
      </c>
      <c r="DW10" s="3" t="str" cm="1">
        <f t="array" ref="DW10">IFERROR(AVERAGE(_xlfn._xlws.FILTER($C:$C,($F:$F=DW$1)*($B:$B=$I10))),"")</f>
        <v/>
      </c>
      <c r="DX10" s="3"/>
      <c r="DZ10">
        <f t="shared" si="0"/>
        <v>94.552810339699604</v>
      </c>
      <c r="EA10" t="str" cm="1">
        <f t="array" ref="EA10">INDEX($J$1:$DW$1,0,MATCH(DZ10,J10:JDW10,0))</f>
        <v>Maldives</v>
      </c>
      <c r="ED10">
        <f t="shared" si="1"/>
        <v>4.5456360705413896</v>
      </c>
      <c r="EE10" t="str" cm="1">
        <f t="array" ref="EE10">INDEX($J$1:$DW$1,0,MATCH(ED10,J10:JDW10,0))</f>
        <v>Ukraine</v>
      </c>
    </row>
    <row r="11" spans="1:135" x14ac:dyDescent="0.2">
      <c r="A11">
        <v>48655992</v>
      </c>
      <c r="B11">
        <v>2017</v>
      </c>
      <c r="C11">
        <v>39.2456676860347</v>
      </c>
      <c r="D11" t="s">
        <v>707</v>
      </c>
      <c r="E11" t="s">
        <v>436</v>
      </c>
      <c r="F11" t="s">
        <v>19</v>
      </c>
      <c r="I11" s="2">
        <v>2019</v>
      </c>
      <c r="J11" s="3" cm="1">
        <f t="array" ref="J11">IFERROR(AVERAGE(_xlfn._xlws.FILTER($C:$C,($F:$F=J$1)*($B:$B=$I11))),"")</f>
        <v>21.725114024824901</v>
      </c>
      <c r="K11" s="3" cm="1">
        <f t="array" ref="K11">IFERROR(AVERAGE(_xlfn._xlws.FILTER($C:$C,($F:$F=K$1)*($B:$B=$I11))),"")</f>
        <v>24.056953278116801</v>
      </c>
      <c r="L11" s="3" cm="1">
        <f t="array" ref="L11">IFERROR(AVERAGE(_xlfn._xlws.FILTER($C:$C,($F:$F=L$1)*($B:$B=$I11))),"")</f>
        <v>34.55609827740318</v>
      </c>
      <c r="M11" s="3" cm="1">
        <f t="array" ref="M11">IFERROR(AVERAGE(_xlfn._xlws.FILTER($C:$C,($F:$F=M$1)*($B:$B=$I11))),"")</f>
        <v>15.210884317418399</v>
      </c>
      <c r="N11" s="3" cm="1">
        <f t="array" ref="N11">IFERROR(AVERAGE(_xlfn._xlws.FILTER($C:$C,($F:$F=N$1)*($B:$B=$I11))),"")</f>
        <v>51.085991925409729</v>
      </c>
      <c r="O11" s="3" cm="1">
        <f t="array" ref="O11">IFERROR(AVERAGE(_xlfn._xlws.FILTER($C:$C,($F:$F=O$1)*($B:$B=$I11))),"")</f>
        <v>34.639794936085423</v>
      </c>
      <c r="P11" s="3" cm="1">
        <f t="array" ref="P11">IFERROR(AVERAGE(_xlfn._xlws.FILTER($C:$C,($F:$F=P$1)*($B:$B=$I11))),"")</f>
        <v>17.459111853764799</v>
      </c>
      <c r="Q11" s="3" cm="1">
        <f t="array" ref="Q11">IFERROR(AVERAGE(_xlfn._xlws.FILTER($C:$C,($F:$F=Q$1)*($B:$B=$I11))),"")</f>
        <v>52.424189706916003</v>
      </c>
      <c r="R11" s="3" cm="1">
        <f t="array" ref="R11">IFERROR(AVERAGE(_xlfn._xlws.FILTER($C:$C,($F:$F=R$1)*($B:$B=$I11))),"")</f>
        <v>27.9111731254132</v>
      </c>
      <c r="S11" s="3" cm="1">
        <f t="array" ref="S11">IFERROR(AVERAGE(_xlfn._xlws.FILTER($C:$C,($F:$F=S$1)*($B:$B=$I11))),"")</f>
        <v>14.1970971318507</v>
      </c>
      <c r="T11" s="3" cm="1">
        <f t="array" ref="T11">IFERROR(AVERAGE(_xlfn._xlws.FILTER($C:$C,($F:$F=T$1)*($B:$B=$I11))),"")</f>
        <v>48.732559990647275</v>
      </c>
      <c r="U11" s="3" cm="1">
        <f t="array" ref="U11">IFERROR(AVERAGE(_xlfn._xlws.FILTER($C:$C,($F:$F=U$1)*($B:$B=$I11))),"")</f>
        <v>43.679115655873801</v>
      </c>
      <c r="V11" s="3" cm="1">
        <f t="array" ref="V11">IFERROR(AVERAGE(_xlfn._xlws.FILTER($C:$C,($F:$F=V$1)*($B:$B=$I11))),"")</f>
        <v>24.971351896806201</v>
      </c>
      <c r="W11" s="3" cm="1">
        <f t="array" ref="W11">IFERROR(AVERAGE(_xlfn._xlws.FILTER($C:$C,($F:$F=W$1)*($B:$B=$I11))),"")</f>
        <v>41.034223789435401</v>
      </c>
      <c r="X11" s="3" cm="1">
        <f t="array" ref="X11">IFERROR(AVERAGE(_xlfn._xlws.FILTER($C:$C,($F:$F=X$1)*($B:$B=$I11))),"")</f>
        <v>30.268002116819588</v>
      </c>
      <c r="Y11" s="3" t="str" cm="1">
        <f t="array" ref="Y11">IFERROR(AVERAGE(_xlfn._xlws.FILTER($C:$C,($F:$F=Y$1)*($B:$B=$I11))),"")</f>
        <v/>
      </c>
      <c r="Z11" s="3" cm="1">
        <f t="array" ref="Z11">IFERROR(AVERAGE(_xlfn._xlws.FILTER($C:$C,($F:$F=Z$1)*($B:$B=$I11))),"")</f>
        <v>12.767319071227675</v>
      </c>
      <c r="AA11" s="3" cm="1">
        <f t="array" ref="AA11">IFERROR(AVERAGE(_xlfn._xlws.FILTER($C:$C,($F:$F=AA$1)*($B:$B=$I11))),"")</f>
        <v>20</v>
      </c>
      <c r="AB11" s="3" cm="1">
        <f t="array" ref="AB11">IFERROR(AVERAGE(_xlfn._xlws.FILTER($C:$C,($F:$F=AB$1)*($B:$B=$I11))),"")</f>
        <v>54.700390420566478</v>
      </c>
      <c r="AC11" s="3" cm="1">
        <f t="array" ref="AC11">IFERROR(AVERAGE(_xlfn._xlws.FILTER($C:$C,($F:$F=AC$1)*($B:$B=$I11))),"")</f>
        <v>35.941001817004199</v>
      </c>
      <c r="AD11" s="3" cm="1">
        <f t="array" ref="AD11">IFERROR(AVERAGE(_xlfn._xlws.FILTER($C:$C,($F:$F=AD$1)*($B:$B=$I11))),"")</f>
        <v>29.520536797750424</v>
      </c>
      <c r="AE11" s="3" cm="1">
        <f t="array" ref="AE11">IFERROR(AVERAGE(_xlfn._xlws.FILTER($C:$C,($F:$F=AE$1)*($B:$B=$I11))),"")</f>
        <v>67.8359337597131</v>
      </c>
      <c r="AF11" s="3" cm="1">
        <f t="array" ref="AF11">IFERROR(AVERAGE(_xlfn._xlws.FILTER($C:$C,($F:$F=AF$1)*($B:$B=$I11))),"")</f>
        <v>29.045375013247433</v>
      </c>
      <c r="AG11" s="3" cm="1">
        <f t="array" ref="AG11">IFERROR(AVERAGE(_xlfn._xlws.FILTER($C:$C,($F:$F=AG$1)*($B:$B=$I11))),"")</f>
        <v>45.056207677376747</v>
      </c>
      <c r="AH11" s="3" cm="1">
        <f t="array" ref="AH11">IFERROR(AVERAGE(_xlfn._xlws.FILTER($C:$C,($F:$F=AH$1)*($B:$B=$I11))),"")</f>
        <v>18.491949652775048</v>
      </c>
      <c r="AI11" s="3" cm="1">
        <f t="array" ref="AI11">IFERROR(AVERAGE(_xlfn._xlws.FILTER($C:$C,($F:$F=AI$1)*($B:$B=$I11))),"")</f>
        <v>55.345911949685501</v>
      </c>
      <c r="AJ11" s="3" cm="1">
        <f t="array" ref="AJ11">IFERROR(AVERAGE(_xlfn._xlws.FILTER($C:$C,($F:$F=AJ$1)*($B:$B=$I11))),"")</f>
        <v>39.575498035914698</v>
      </c>
      <c r="AK11" s="3" cm="1">
        <f t="array" ref="AK11">IFERROR(AVERAGE(_xlfn._xlws.FILTER($C:$C,($F:$F=AK$1)*($B:$B=$I11))),"")</f>
        <v>16.976302878526649</v>
      </c>
      <c r="AL11" s="3" cm="1">
        <f t="array" ref="AL11">IFERROR(AVERAGE(_xlfn._xlws.FILTER($C:$C,($F:$F=AL$1)*($B:$B=$I11))),"")</f>
        <v>46.6666666666667</v>
      </c>
      <c r="AM11" s="3" cm="1">
        <f t="array" ref="AM11">IFERROR(AVERAGE(_xlfn._xlws.FILTER($C:$C,($F:$F=AM$1)*($B:$B=$I11))),"")</f>
        <v>26.6794573608333</v>
      </c>
      <c r="AN11" s="3" cm="1">
        <f t="array" ref="AN11">IFERROR(AVERAGE(_xlfn._xlws.FILTER($C:$C,($F:$F=AN$1)*($B:$B=$I11))),"")</f>
        <v>36.631744557404502</v>
      </c>
      <c r="AO11" s="3" cm="1">
        <f t="array" ref="AO11">IFERROR(AVERAGE(_xlfn._xlws.FILTER($C:$C,($F:$F=AO$1)*($B:$B=$I11))),"")</f>
        <v>25.579509528109266</v>
      </c>
      <c r="AP11" s="3" cm="1">
        <f t="array" ref="AP11">IFERROR(AVERAGE(_xlfn._xlws.FILTER($C:$C,($F:$F=AP$1)*($B:$B=$I11))),"")</f>
        <v>29.12314693969757</v>
      </c>
      <c r="AQ11" s="3" cm="1">
        <f t="array" ref="AQ11">IFERROR(AVERAGE(_xlfn._xlws.FILTER($C:$C,($F:$F=AQ$1)*($B:$B=$I11))),"")</f>
        <v>14.25394663529995</v>
      </c>
      <c r="AR11" s="3" cm="1">
        <f t="array" ref="AR11">IFERROR(AVERAGE(_xlfn._xlws.FILTER($C:$C,($F:$F=AR$1)*($B:$B=$I11))),"")</f>
        <v>34.111045686330463</v>
      </c>
      <c r="AS11" s="3" cm="1">
        <f t="array" ref="AS11">IFERROR(AVERAGE(_xlfn._xlws.FILTER($C:$C,($F:$F=AS$1)*($B:$B=$I11))),"")</f>
        <v>56.617993755313698</v>
      </c>
      <c r="AT11" s="3" cm="1">
        <f t="array" ref="AT11">IFERROR(AVERAGE(_xlfn._xlws.FILTER($C:$C,($F:$F=AT$1)*($B:$B=$I11))),"")</f>
        <v>30.977171209535367</v>
      </c>
      <c r="AU11" s="3" cm="1">
        <f t="array" ref="AU11">IFERROR(AVERAGE(_xlfn._xlws.FILTER($C:$C,($F:$F=AU$1)*($B:$B=$I11))),"")</f>
        <v>88.437161159902899</v>
      </c>
      <c r="AV11" s="3" cm="1">
        <f t="array" ref="AV11">IFERROR(AVERAGE(_xlfn._xlws.FILTER($C:$C,($F:$F=AV$1)*($B:$B=$I11))),"")</f>
        <v>69.285714285714306</v>
      </c>
      <c r="AW11" s="3" cm="1">
        <f t="array" ref="AW11">IFERROR(AVERAGE(_xlfn._xlws.FILTER($C:$C,($F:$F=AW$1)*($B:$B=$I11))),"")</f>
        <v>14.547706994771467</v>
      </c>
      <c r="AX11" s="3" cm="1">
        <f t="array" ref="AX11">IFERROR(AVERAGE(_xlfn._xlws.FILTER($C:$C,($F:$F=AX$1)*($B:$B=$I11))),"")</f>
        <v>65.736168389838994</v>
      </c>
      <c r="AY11" s="3" cm="1">
        <f t="array" ref="AY11">IFERROR(AVERAGE(_xlfn._xlws.FILTER($C:$C,($F:$F=AY$1)*($B:$B=$I11))),"")</f>
        <v>10.189610402744464</v>
      </c>
      <c r="AZ11" s="3" cm="1">
        <f t="array" ref="AZ11">IFERROR(AVERAGE(_xlfn._xlws.FILTER($C:$C,($F:$F=AZ$1)*($B:$B=$I11))),"")</f>
        <v>27.4796260213563</v>
      </c>
      <c r="BA11" s="3" cm="1">
        <f t="array" ref="BA11">IFERROR(AVERAGE(_xlfn._xlws.FILTER($C:$C,($F:$F=BA$1)*($B:$B=$I11))),"")</f>
        <v>22.364533005018998</v>
      </c>
      <c r="BB11" s="3" cm="1">
        <f t="array" ref="BB11">IFERROR(AVERAGE(_xlfn._xlws.FILTER($C:$C,($F:$F=BB$1)*($B:$B=$I11))),"")</f>
        <v>39.105608612044797</v>
      </c>
      <c r="BC11" s="3" cm="1">
        <f t="array" ref="BC11">IFERROR(AVERAGE(_xlfn._xlws.FILTER($C:$C,($F:$F=BC$1)*($B:$B=$I11))),"")</f>
        <v>56.29600132620903</v>
      </c>
      <c r="BD11" s="3" cm="1">
        <f t="array" ref="BD11">IFERROR(AVERAGE(_xlfn._xlws.FILTER($C:$C,($F:$F=BD$1)*($B:$B=$I11))),"")</f>
        <v>26.954882317158802</v>
      </c>
      <c r="BE11" s="3" cm="1">
        <f t="array" ref="BE11">IFERROR(AVERAGE(_xlfn._xlws.FILTER($C:$C,($F:$F=BE$1)*($B:$B=$I11))),"")</f>
        <v>32.156524517963163</v>
      </c>
      <c r="BF11" s="3" cm="1">
        <f t="array" ref="BF11">IFERROR(AVERAGE(_xlfn._xlws.FILTER($C:$C,($F:$F=BF$1)*($B:$B=$I11))),"")</f>
        <v>36.094396042528103</v>
      </c>
      <c r="BG11" s="3" cm="1">
        <f t="array" ref="BG11">IFERROR(AVERAGE(_xlfn._xlws.FILTER($C:$C,($F:$F=BG$1)*($B:$B=$I11))),"")</f>
        <v>43.999542877400195</v>
      </c>
      <c r="BH11" s="3" cm="1">
        <f t="array" ref="BH11">IFERROR(AVERAGE(_xlfn._xlws.FILTER($C:$C,($F:$F=BH$1)*($B:$B=$I11))),"")</f>
        <v>43.1666619064477</v>
      </c>
      <c r="BI11" s="3" cm="1">
        <f t="array" ref="BI11">IFERROR(AVERAGE(_xlfn._xlws.FILTER($C:$C,($F:$F=BI$1)*($B:$B=$I11))),"")</f>
        <v>11.547560681657499</v>
      </c>
      <c r="BJ11" s="3" cm="1">
        <f t="array" ref="BJ11">IFERROR(AVERAGE(_xlfn._xlws.FILTER($C:$C,($F:$F=BJ$1)*($B:$B=$I11))),"")</f>
        <v>58.168274986162302</v>
      </c>
      <c r="BK11" s="3" cm="1">
        <f t="array" ref="BK11">IFERROR(AVERAGE(_xlfn._xlws.FILTER($C:$C,($F:$F=BK$1)*($B:$B=$I11))),"")</f>
        <v>24.002852401099499</v>
      </c>
      <c r="BL11" s="3" cm="1">
        <f t="array" ref="BL11">IFERROR(AVERAGE(_xlfn._xlws.FILTER($C:$C,($F:$F=BL$1)*($B:$B=$I11))),"")</f>
        <v>19.793827204749601</v>
      </c>
      <c r="BM11" s="3" cm="1">
        <f t="array" ref="BM11">IFERROR(AVERAGE(_xlfn._xlws.FILTER($C:$C,($F:$F=BM$1)*($B:$B=$I11))),"")</f>
        <v>17.833597670844998</v>
      </c>
      <c r="BN11" s="3" cm="1">
        <f t="array" ref="BN11">IFERROR(AVERAGE(_xlfn._xlws.FILTER($C:$C,($F:$F=BN$1)*($B:$B=$I11))),"")</f>
        <v>55.636987131299897</v>
      </c>
      <c r="BO11" s="3" t="str" cm="1">
        <f t="array" ref="BO11">IFERROR(AVERAGE(_xlfn._xlws.FILTER($C:$C,($F:$F=BO$1)*($B:$B=$I11))),"")</f>
        <v/>
      </c>
      <c r="BP11" s="3" cm="1">
        <f t="array" ref="BP11">IFERROR(AVERAGE(_xlfn._xlws.FILTER($C:$C,($F:$F=BP$1)*($B:$B=$I11))),"")</f>
        <v>12.012267576891301</v>
      </c>
      <c r="BQ11" s="3" cm="1">
        <f t="array" ref="BQ11">IFERROR(AVERAGE(_xlfn._xlws.FILTER($C:$C,($F:$F=BQ$1)*($B:$B=$I11))),"")</f>
        <v>52.5470062509172</v>
      </c>
      <c r="BR11" s="3" cm="1">
        <f t="array" ref="BR11">IFERROR(AVERAGE(_xlfn._xlws.FILTER($C:$C,($F:$F=BR$1)*($B:$B=$I11))),"")</f>
        <v>29.363902247261603</v>
      </c>
      <c r="BS11" s="3" t="str" cm="1">
        <f t="array" ref="BS11">IFERROR(AVERAGE(_xlfn._xlws.FILTER($C:$C,($F:$F=BS$1)*($B:$B=$I11))),"")</f>
        <v/>
      </c>
      <c r="BT11" s="3" t="str" cm="1">
        <f t="array" ref="BT11">IFERROR(AVERAGE(_xlfn._xlws.FILTER($C:$C,($F:$F=BT$1)*($B:$B=$I11))),"")</f>
        <v/>
      </c>
      <c r="BU11" s="3" t="str" cm="1">
        <f t="array" ref="BU11">IFERROR(AVERAGE(_xlfn._xlws.FILTER($C:$C,($F:$F=BU$1)*($B:$B=$I11))),"")</f>
        <v/>
      </c>
      <c r="BV11" s="3" cm="1">
        <f t="array" ref="BV11">IFERROR(AVERAGE(_xlfn._xlws.FILTER($C:$C,($F:$F=BV$1)*($B:$B=$I11))),"")</f>
        <v>26.39773326725869</v>
      </c>
      <c r="BW11" s="3" cm="1">
        <f t="array" ref="BW11">IFERROR(AVERAGE(_xlfn._xlws.FILTER($C:$C,($F:$F=BW$1)*($B:$B=$I11))),"")</f>
        <v>16.1795793144077</v>
      </c>
      <c r="BX11" s="3" cm="1">
        <f t="array" ref="BX11">IFERROR(AVERAGE(_xlfn._xlws.FILTER($C:$C,($F:$F=BX$1)*($B:$B=$I11))),"")</f>
        <v>25.1421998047174</v>
      </c>
      <c r="BY11" s="3" cm="1">
        <f t="array" ref="BY11">IFERROR(AVERAGE(_xlfn._xlws.FILTER($C:$C,($F:$F=BY$1)*($B:$B=$I11))),"")</f>
        <v>32.972488179450565</v>
      </c>
      <c r="BZ11" s="3" t="str" cm="1">
        <f t="array" ref="BZ11">IFERROR(AVERAGE(_xlfn._xlws.FILTER($C:$C,($F:$F=BZ$1)*($B:$B=$I11))),"")</f>
        <v/>
      </c>
      <c r="CA11" s="3" cm="1">
        <f t="array" ref="CA11">IFERROR(AVERAGE(_xlfn._xlws.FILTER($C:$C,($F:$F=CA$1)*($B:$B=$I11))),"")</f>
        <v>41.7226230078887</v>
      </c>
      <c r="CB11" s="3" cm="1">
        <f t="array" ref="CB11">IFERROR(AVERAGE(_xlfn._xlws.FILTER($C:$C,($F:$F=CB$1)*($B:$B=$I11))),"")</f>
        <v>18.360811692830602</v>
      </c>
      <c r="CC11" s="3" cm="1">
        <f t="array" ref="CC11">IFERROR(AVERAGE(_xlfn._xlws.FILTER($C:$C,($F:$F=CC$1)*($B:$B=$I11))),"")</f>
        <v>54.424221579976127</v>
      </c>
      <c r="CD11" s="3" cm="1">
        <f t="array" ref="CD11">IFERROR(AVERAGE(_xlfn._xlws.FILTER($C:$C,($F:$F=CD$1)*($B:$B=$I11))),"")</f>
        <v>62.548303466525098</v>
      </c>
      <c r="CE11" s="3" cm="1">
        <f t="array" ref="CE11">IFERROR(AVERAGE(_xlfn._xlws.FILTER($C:$C,($F:$F=CE$1)*($B:$B=$I11))),"")</f>
        <v>45.238095238095198</v>
      </c>
      <c r="CF11" s="3" cm="1">
        <f t="array" ref="CF11">IFERROR(AVERAGE(_xlfn._xlws.FILTER($C:$C,($F:$F=CF$1)*($B:$B=$I11))),"")</f>
        <v>16.473654028643601</v>
      </c>
      <c r="CG11" s="3" cm="1">
        <f t="array" ref="CG11">IFERROR(AVERAGE(_xlfn._xlws.FILTER($C:$C,($F:$F=CG$1)*($B:$B=$I11))),"")</f>
        <v>54.062605785451979</v>
      </c>
      <c r="CH11" s="3" cm="1">
        <f t="array" ref="CH11">IFERROR(AVERAGE(_xlfn._xlws.FILTER($C:$C,($F:$F=CH$1)*($B:$B=$I11))),"")</f>
        <v>74.654915878979395</v>
      </c>
      <c r="CI11" s="3" cm="1">
        <f t="array" ref="CI11">IFERROR(AVERAGE(_xlfn._xlws.FILTER($C:$C,($F:$F=CI$1)*($B:$B=$I11))),"")</f>
        <v>22.201186721995658</v>
      </c>
      <c r="CJ11" s="3" cm="1">
        <f t="array" ref="CJ11">IFERROR(AVERAGE(_xlfn._xlws.FILTER($C:$C,($F:$F=CJ$1)*($B:$B=$I11))),"")</f>
        <v>46.276086956521702</v>
      </c>
      <c r="CK11" s="3" cm="1">
        <f t="array" ref="CK11">IFERROR(AVERAGE(_xlfn._xlws.FILTER($C:$C,($F:$F=CK$1)*($B:$B=$I11))),"")</f>
        <v>29.302861557341998</v>
      </c>
      <c r="CL11" s="3" cm="1">
        <f t="array" ref="CL11">IFERROR(AVERAGE(_xlfn._xlws.FILTER($C:$C,($F:$F=CL$1)*($B:$B=$I11))),"")</f>
        <v>14.053513331311699</v>
      </c>
      <c r="CM11" s="3" cm="1">
        <f t="array" ref="CM11">IFERROR(AVERAGE(_xlfn._xlws.FILTER($C:$C,($F:$F=CM$1)*($B:$B=$I11))),"")</f>
        <v>37.574139976275198</v>
      </c>
      <c r="CN11" s="3" cm="1">
        <f t="array" ref="CN11">IFERROR(AVERAGE(_xlfn._xlws.FILTER($C:$C,($F:$F=CN$1)*($B:$B=$I11))),"")</f>
        <v>45.95833352606045</v>
      </c>
      <c r="CO11" s="3" cm="1">
        <f t="array" ref="CO11">IFERROR(AVERAGE(_xlfn._xlws.FILTER($C:$C,($F:$F=CO$1)*($B:$B=$I11))),"")</f>
        <v>13.724685357556732</v>
      </c>
      <c r="CP11" s="3" cm="1">
        <f t="array" ref="CP11">IFERROR(AVERAGE(_xlfn._xlws.FILTER($C:$C,($F:$F=CP$1)*($B:$B=$I11))),"")</f>
        <v>34.271133512387202</v>
      </c>
      <c r="CQ11" s="3" cm="1">
        <f t="array" ref="CQ11">IFERROR(AVERAGE(_xlfn._xlws.FILTER($C:$C,($F:$F=CQ$1)*($B:$B=$I11))),"")</f>
        <v>89.586459794774996</v>
      </c>
      <c r="CR11" s="3" cm="1">
        <f t="array" ref="CR11">IFERROR(AVERAGE(_xlfn._xlws.FILTER($C:$C,($F:$F=CR$1)*($B:$B=$I11))),"")</f>
        <v>8.8180125766130413</v>
      </c>
      <c r="CS11" s="3" cm="1">
        <f t="array" ref="CS11">IFERROR(AVERAGE(_xlfn._xlws.FILTER($C:$C,($F:$F=CS$1)*($B:$B=$I11))),"")</f>
        <v>7.3129395194322999</v>
      </c>
      <c r="CT11" s="3" cm="1">
        <f t="array" ref="CT11">IFERROR(AVERAGE(_xlfn._xlws.FILTER($C:$C,($F:$F=CT$1)*($B:$B=$I11))),"")</f>
        <v>60.73863346699693</v>
      </c>
      <c r="CU11" s="3" cm="1">
        <f t="array" ref="CU11">IFERROR(AVERAGE(_xlfn._xlws.FILTER($C:$C,($F:$F=CU$1)*($B:$B=$I11))),"")</f>
        <v>21.203628410485198</v>
      </c>
      <c r="CV11" s="3" cm="1">
        <f t="array" ref="CV11">IFERROR(AVERAGE(_xlfn._xlws.FILTER($C:$C,($F:$F=CV$1)*($B:$B=$I11))),"")</f>
        <v>32.3798688905216</v>
      </c>
      <c r="CW11" s="3" cm="1">
        <f t="array" ref="CW11">IFERROR(AVERAGE(_xlfn._xlws.FILTER($C:$C,($F:$F=CW$1)*($B:$B=$I11))),"")</f>
        <v>17.78691731455395</v>
      </c>
      <c r="CX11" s="3" cm="1">
        <f t="array" ref="CX11">IFERROR(AVERAGE(_xlfn._xlws.FILTER($C:$C,($F:$F=CX$1)*($B:$B=$I11))),"")</f>
        <v>38.5622455352215</v>
      </c>
      <c r="CY11" s="3" cm="1">
        <f t="array" ref="CY11">IFERROR(AVERAGE(_xlfn._xlws.FILTER($C:$C,($F:$F=CY$1)*($B:$B=$I11))),"")</f>
        <v>64.174283900232524</v>
      </c>
      <c r="CZ11" s="3" cm="1">
        <f t="array" ref="CZ11">IFERROR(AVERAGE(_xlfn._xlws.FILTER($C:$C,($F:$F=CZ$1)*($B:$B=$I11))),"")</f>
        <v>21.585126677855602</v>
      </c>
      <c r="DA11" s="3" cm="1">
        <f t="array" ref="DA11">IFERROR(AVERAGE(_xlfn._xlws.FILTER($C:$C,($F:$F=DA$1)*($B:$B=$I11))),"")</f>
        <v>45.653882916642708</v>
      </c>
      <c r="DB11" s="3" cm="1">
        <f t="array" ref="DB11">IFERROR(AVERAGE(_xlfn._xlws.FILTER($C:$C,($F:$F=DB$1)*($B:$B=$I11))),"")</f>
        <v>15.876477982958599</v>
      </c>
      <c r="DC11" s="3" t="str" cm="1">
        <f t="array" ref="DC11">IFERROR(AVERAGE(_xlfn._xlws.FILTER($C:$C,($F:$F=DC$1)*($B:$B=$I11))),"")</f>
        <v/>
      </c>
      <c r="DD11" s="3" cm="1">
        <f t="array" ref="DD11">IFERROR(AVERAGE(_xlfn._xlws.FILTER($C:$C,($F:$F=DD$1)*($B:$B=$I11))),"")</f>
        <v>31.912543577366598</v>
      </c>
      <c r="DE11" s="3" cm="1">
        <f t="array" ref="DE11">IFERROR(AVERAGE(_xlfn._xlws.FILTER($C:$C,($F:$F=DE$1)*($B:$B=$I11))),"")</f>
        <v>33.111086496366035</v>
      </c>
      <c r="DF11" s="3" cm="1">
        <f t="array" ref="DF11">IFERROR(AVERAGE(_xlfn._xlws.FILTER($C:$C,($F:$F=DF$1)*($B:$B=$I11))),"")</f>
        <v>54.337126108549434</v>
      </c>
      <c r="DG11" s="3" cm="1">
        <f t="array" ref="DG11">IFERROR(AVERAGE(_xlfn._xlws.FILTER($C:$C,($F:$F=DG$1)*($B:$B=$I11))),"")</f>
        <v>21.669784697339601</v>
      </c>
      <c r="DH11" s="3" t="str" cm="1">
        <f t="array" ref="DH11">IFERROR(AVERAGE(_xlfn._xlws.FILTER($C:$C,($F:$F=DH$1)*($B:$B=$I11))),"")</f>
        <v/>
      </c>
      <c r="DI11" s="3" cm="1">
        <f t="array" ref="DI11">IFERROR(AVERAGE(_xlfn._xlws.FILTER($C:$C,($F:$F=DI$1)*($B:$B=$I11))),"")</f>
        <v>22.363064522570252</v>
      </c>
      <c r="DJ11" s="3" cm="1">
        <f t="array" ref="DJ11">IFERROR(AVERAGE(_xlfn._xlws.FILTER($C:$C,($F:$F=DJ$1)*($B:$B=$I11))),"")</f>
        <v>71.3125</v>
      </c>
      <c r="DK11" s="3" cm="1">
        <f t="array" ref="DK11">IFERROR(AVERAGE(_xlfn._xlws.FILTER($C:$C,($F:$F=DK$1)*($B:$B=$I11))),"")</f>
        <v>46.937615775762197</v>
      </c>
      <c r="DL11" s="3" cm="1">
        <f t="array" ref="DL11">IFERROR(AVERAGE(_xlfn._xlws.FILTER($C:$C,($F:$F=DL$1)*($B:$B=$I11))),"")</f>
        <v>18.504605235037801</v>
      </c>
      <c r="DM11" s="3" cm="1">
        <f t="array" ref="DM11">IFERROR(AVERAGE(_xlfn._xlws.FILTER($C:$C,($F:$F=DM$1)*($B:$B=$I11))),"")</f>
        <v>14.473185843200168</v>
      </c>
      <c r="DN11" s="3" t="str" cm="1">
        <f t="array" ref="DN11">IFERROR(AVERAGE(_xlfn._xlws.FILTER($C:$C,($F:$F=DN$1)*($B:$B=$I11))),"")</f>
        <v/>
      </c>
      <c r="DO11" s="3" cm="1">
        <f t="array" ref="DO11">IFERROR(AVERAGE(_xlfn._xlws.FILTER($C:$C,($F:$F=DO$1)*($B:$B=$I11))),"")</f>
        <v>4.5249529689291217</v>
      </c>
      <c r="DP11" s="3" cm="1">
        <f t="array" ref="DP11">IFERROR(AVERAGE(_xlfn._xlws.FILTER($C:$C,($F:$F=DP$1)*($B:$B=$I11))),"")</f>
        <v>91.150954882712938</v>
      </c>
      <c r="DQ11" s="3" cm="1">
        <f t="array" ref="DQ11">IFERROR(AVERAGE(_xlfn._xlws.FILTER($C:$C,($F:$F=DQ$1)*($B:$B=$I11))),"")</f>
        <v>38.570847358238055</v>
      </c>
      <c r="DR11" s="3" cm="1">
        <f t="array" ref="DR11">IFERROR(AVERAGE(_xlfn._xlws.FILTER($C:$C,($F:$F=DR$1)*($B:$B=$I11))),"")</f>
        <v>64.039716402060932</v>
      </c>
      <c r="DS11" s="3" cm="1">
        <f t="array" ref="DS11">IFERROR(AVERAGE(_xlfn._xlws.FILTER($C:$C,($F:$F=DS$1)*($B:$B=$I11))),"")</f>
        <v>32.636726559978499</v>
      </c>
      <c r="DT11" s="3" cm="1">
        <f t="array" ref="DT11">IFERROR(AVERAGE(_xlfn._xlws.FILTER($C:$C,($F:$F=DT$1)*($B:$B=$I11))),"")</f>
        <v>61.5</v>
      </c>
      <c r="DU11" s="3" cm="1">
        <f t="array" ref="DU11">IFERROR(AVERAGE(_xlfn._xlws.FILTER($C:$C,($F:$F=DU$1)*($B:$B=$I11))),"")</f>
        <v>10.375</v>
      </c>
      <c r="DV11" s="3" cm="1">
        <f t="array" ref="DV11">IFERROR(AVERAGE(_xlfn._xlws.FILTER($C:$C,($F:$F=DV$1)*($B:$B=$I11))),"")</f>
        <v>10.891936754098651</v>
      </c>
      <c r="DW11" s="3" t="str" cm="1">
        <f t="array" ref="DW11">IFERROR(AVERAGE(_xlfn._xlws.FILTER($C:$C,($F:$F=DW$1)*($B:$B=$I11))),"")</f>
        <v/>
      </c>
      <c r="DX11" s="3"/>
      <c r="DZ11">
        <f t="shared" si="0"/>
        <v>91.150954882712938</v>
      </c>
      <c r="EA11" t="str" cm="1">
        <f t="array" ref="EA11">INDEX($J$1:$DW$1,0,MATCH(DZ11,J11:JDW11,0))</f>
        <v>United Arab Emirates</v>
      </c>
      <c r="ED11">
        <f t="shared" si="1"/>
        <v>4.5249529689291217</v>
      </c>
      <c r="EE11" t="str" cm="1">
        <f t="array" ref="EE11">INDEX($J$1:$DW$1,0,MATCH(ED11,J11:JDW11,0))</f>
        <v>Ukraine</v>
      </c>
    </row>
    <row r="12" spans="1:135" x14ac:dyDescent="0.2">
      <c r="A12">
        <v>48655992</v>
      </c>
      <c r="B12">
        <v>2016</v>
      </c>
      <c r="C12">
        <v>34.761650571812197</v>
      </c>
      <c r="D12" t="s">
        <v>707</v>
      </c>
      <c r="E12" t="s">
        <v>436</v>
      </c>
      <c r="F12" t="s">
        <v>19</v>
      </c>
      <c r="I12" s="2">
        <v>2020</v>
      </c>
      <c r="J12" s="3" cm="1">
        <f t="array" ref="J12">IFERROR(AVERAGE(_xlfn._xlws.FILTER($C:$C,($F:$F=J$1)*($B:$B=$I12))),"")</f>
        <v>21.163960171162401</v>
      </c>
      <c r="K12" s="3" cm="1">
        <f t="array" ref="K12">IFERROR(AVERAGE(_xlfn._xlws.FILTER($C:$C,($F:$F=K$1)*($B:$B=$I12))),"")</f>
        <v>45.178261106631503</v>
      </c>
      <c r="L12" s="3" cm="1">
        <f t="array" ref="L12">IFERROR(AVERAGE(_xlfn._xlws.FILTER($C:$C,($F:$F=L$1)*($B:$B=$I12))),"")</f>
        <v>26.692574226229972</v>
      </c>
      <c r="M12" s="3" cm="1">
        <f t="array" ref="M12">IFERROR(AVERAGE(_xlfn._xlws.FILTER($C:$C,($F:$F=M$1)*($B:$B=$I12))),"")</f>
        <v>17.6851943581288</v>
      </c>
      <c r="N12" s="3" cm="1">
        <f t="array" ref="N12">IFERROR(AVERAGE(_xlfn._xlws.FILTER($C:$C,($F:$F=N$1)*($B:$B=$I12))),"")</f>
        <v>50.884582180308357</v>
      </c>
      <c r="O12" s="3" cm="1">
        <f t="array" ref="O12">IFERROR(AVERAGE(_xlfn._xlws.FILTER($C:$C,($F:$F=O$1)*($B:$B=$I12))),"")</f>
        <v>38.410140906984502</v>
      </c>
      <c r="P12" s="3" cm="1">
        <f t="array" ref="P12">IFERROR(AVERAGE(_xlfn._xlws.FILTER($C:$C,($F:$F=P$1)*($B:$B=$I12))),"")</f>
        <v>18.3235376859543</v>
      </c>
      <c r="Q12" s="3" cm="1">
        <f t="array" ref="Q12">IFERROR(AVERAGE(_xlfn._xlws.FILTER($C:$C,($F:$F=Q$1)*($B:$B=$I12))),"")</f>
        <v>60.520307693591903</v>
      </c>
      <c r="R12" s="3" cm="1">
        <f t="array" ref="R12">IFERROR(AVERAGE(_xlfn._xlws.FILTER($C:$C,($F:$F=R$1)*($B:$B=$I12))),"")</f>
        <v>28.589150511358</v>
      </c>
      <c r="S12" s="3" cm="1">
        <f t="array" ref="S12">IFERROR(AVERAGE(_xlfn._xlws.FILTER($C:$C,($F:$F=S$1)*($B:$B=$I12))),"")</f>
        <v>12.0406692130423</v>
      </c>
      <c r="T12" s="3" cm="1">
        <f t="array" ref="T12">IFERROR(AVERAGE(_xlfn._xlws.FILTER($C:$C,($F:$F=T$1)*($B:$B=$I12))),"")</f>
        <v>51.466461398348201</v>
      </c>
      <c r="U12" s="3" cm="1">
        <f t="array" ref="U12">IFERROR(AVERAGE(_xlfn._xlws.FILTER($C:$C,($F:$F=U$1)*($B:$B=$I12))),"")</f>
        <v>49.686603671959702</v>
      </c>
      <c r="V12" s="3" cm="1">
        <f t="array" ref="V12">IFERROR(AVERAGE(_xlfn._xlws.FILTER($C:$C,($F:$F=V$1)*($B:$B=$I12))),"")</f>
        <v>22.812804320772152</v>
      </c>
      <c r="W12" s="3" cm="1">
        <f t="array" ref="W12">IFERROR(AVERAGE(_xlfn._xlws.FILTER($C:$C,($F:$F=W$1)*($B:$B=$I12))),"")</f>
        <v>73.688531178883196</v>
      </c>
      <c r="X12" s="3" cm="1">
        <f t="array" ref="X12">IFERROR(AVERAGE(_xlfn._xlws.FILTER($C:$C,($F:$F=X$1)*($B:$B=$I12))),"")</f>
        <v>21.0023101823312</v>
      </c>
      <c r="Y12" s="3" t="str" cm="1">
        <f t="array" ref="Y12">IFERROR(AVERAGE(_xlfn._xlws.FILTER($C:$C,($F:$F=Y$1)*($B:$B=$I12))),"")</f>
        <v/>
      </c>
      <c r="Z12" s="3" cm="1">
        <f t="array" ref="Z12">IFERROR(AVERAGE(_xlfn._xlws.FILTER($C:$C,($F:$F=Z$1)*($B:$B=$I12))),"")</f>
        <v>11.914568108265401</v>
      </c>
      <c r="AA12" s="3" cm="1">
        <f t="array" ref="AA12">IFERROR(AVERAGE(_xlfn._xlws.FILTER($C:$C,($F:$F=AA$1)*($B:$B=$I12))),"")</f>
        <v>30.1428571428571</v>
      </c>
      <c r="AB12" s="3" cm="1">
        <f t="array" ref="AB12">IFERROR(AVERAGE(_xlfn._xlws.FILTER($C:$C,($F:$F=AB$1)*($B:$B=$I12))),"")</f>
        <v>55.540528433290127</v>
      </c>
      <c r="AC12" s="3" cm="1">
        <f t="array" ref="AC12">IFERROR(AVERAGE(_xlfn._xlws.FILTER($C:$C,($F:$F=AC$1)*($B:$B=$I12))),"")</f>
        <v>31.6458163290262</v>
      </c>
      <c r="AD12" s="3" cm="1">
        <f t="array" ref="AD12">IFERROR(AVERAGE(_xlfn._xlws.FILTER($C:$C,($F:$F=AD$1)*($B:$B=$I12))),"")</f>
        <v>27.510768961495518</v>
      </c>
      <c r="AE12" s="3" cm="1">
        <f t="array" ref="AE12">IFERROR(AVERAGE(_xlfn._xlws.FILTER($C:$C,($F:$F=AE$1)*($B:$B=$I12))),"")</f>
        <v>49.536552165569049</v>
      </c>
      <c r="AF12" s="3" cm="1">
        <f t="array" ref="AF12">IFERROR(AVERAGE(_xlfn._xlws.FILTER($C:$C,($F:$F=AF$1)*($B:$B=$I12))),"")</f>
        <v>31.524644364865345</v>
      </c>
      <c r="AG12" s="3" cm="1">
        <f t="array" ref="AG12">IFERROR(AVERAGE(_xlfn._xlws.FILTER($C:$C,($F:$F=AG$1)*($B:$B=$I12))),"")</f>
        <v>47.106155165395364</v>
      </c>
      <c r="AH12" s="3" cm="1">
        <f t="array" ref="AH12">IFERROR(AVERAGE(_xlfn._xlws.FILTER($C:$C,($F:$F=AH$1)*($B:$B=$I12))),"")</f>
        <v>19.135384708566367</v>
      </c>
      <c r="AI12" s="3" cm="1">
        <f t="array" ref="AI12">IFERROR(AVERAGE(_xlfn._xlws.FILTER($C:$C,($F:$F=AI$1)*($B:$B=$I12))),"")</f>
        <v>45.022171316364002</v>
      </c>
      <c r="AJ12" s="3" cm="1">
        <f t="array" ref="AJ12">IFERROR(AVERAGE(_xlfn._xlws.FILTER($C:$C,($F:$F=AJ$1)*($B:$B=$I12))),"")</f>
        <v>43.963636363636368</v>
      </c>
      <c r="AK12" s="3" cm="1">
        <f t="array" ref="AK12">IFERROR(AVERAGE(_xlfn._xlws.FILTER($C:$C,($F:$F=AK$1)*($B:$B=$I12))),"")</f>
        <v>15.356087388527399</v>
      </c>
      <c r="AL12" s="3" cm="1">
        <f t="array" ref="AL12">IFERROR(AVERAGE(_xlfn._xlws.FILTER($C:$C,($F:$F=AL$1)*($B:$B=$I12))),"")</f>
        <v>46.625</v>
      </c>
      <c r="AM12" s="3" cm="1">
        <f t="array" ref="AM12">IFERROR(AVERAGE(_xlfn._xlws.FILTER($C:$C,($F:$F=AM$1)*($B:$B=$I12))),"")</f>
        <v>25.7473952993975</v>
      </c>
      <c r="AN12" s="3" t="str" cm="1">
        <f t="array" ref="AN12">IFERROR(AVERAGE(_xlfn._xlws.FILTER($C:$C,($F:$F=AN$1)*($B:$B=$I12))),"")</f>
        <v/>
      </c>
      <c r="AO12" s="3" cm="1">
        <f t="array" ref="AO12">IFERROR(AVERAGE(_xlfn._xlws.FILTER($C:$C,($F:$F=AO$1)*($B:$B=$I12))),"")</f>
        <v>22.716459542731531</v>
      </c>
      <c r="AP12" s="3" cm="1">
        <f t="array" ref="AP12">IFERROR(AVERAGE(_xlfn._xlws.FILTER($C:$C,($F:$F=AP$1)*($B:$B=$I12))),"")</f>
        <v>29.81689542774355</v>
      </c>
      <c r="AQ12" s="3" cm="1">
        <f t="array" ref="AQ12">IFERROR(AVERAGE(_xlfn._xlws.FILTER($C:$C,($F:$F=AQ$1)*($B:$B=$I12))),"")</f>
        <v>15.073063840921</v>
      </c>
      <c r="AR12" s="3" cm="1">
        <f t="array" ref="AR12">IFERROR(AVERAGE(_xlfn._xlws.FILTER($C:$C,($F:$F=AR$1)*($B:$B=$I12))),"")</f>
        <v>37.143143633458791</v>
      </c>
      <c r="AS12" s="3" cm="1">
        <f t="array" ref="AS12">IFERROR(AVERAGE(_xlfn._xlws.FILTER($C:$C,($F:$F=AS$1)*($B:$B=$I12))),"")</f>
        <v>49.213744814645203</v>
      </c>
      <c r="AT12" s="3" cm="1">
        <f t="array" ref="AT12">IFERROR(AVERAGE(_xlfn._xlws.FILTER($C:$C,($F:$F=AT$1)*($B:$B=$I12))),"")</f>
        <v>35.248036425956293</v>
      </c>
      <c r="AU12" s="3" cm="1">
        <f t="array" ref="AU12">IFERROR(AVERAGE(_xlfn._xlws.FILTER($C:$C,($F:$F=AU$1)*($B:$B=$I12))),"")</f>
        <v>67.027513655575703</v>
      </c>
      <c r="AV12" s="3" t="str" cm="1">
        <f t="array" ref="AV12">IFERROR(AVERAGE(_xlfn._xlws.FILTER($C:$C,($F:$F=AV$1)*($B:$B=$I12))),"")</f>
        <v/>
      </c>
      <c r="AW12" s="3" cm="1">
        <f t="array" ref="AW12">IFERROR(AVERAGE(_xlfn._xlws.FILTER($C:$C,($F:$F=AW$1)*($B:$B=$I12))),"")</f>
        <v>14.441393964534166</v>
      </c>
      <c r="AX12" s="3" cm="1">
        <f t="array" ref="AX12">IFERROR(AVERAGE(_xlfn._xlws.FILTER($C:$C,($F:$F=AX$1)*($B:$B=$I12))),"")</f>
        <v>67.094300670942999</v>
      </c>
      <c r="AY12" s="3" cm="1">
        <f t="array" ref="AY12">IFERROR(AVERAGE(_xlfn._xlws.FILTER($C:$C,($F:$F=AY$1)*($B:$B=$I12))),"")</f>
        <v>10.604080842153312</v>
      </c>
      <c r="AZ12" s="3" cm="1">
        <f t="array" ref="AZ12">IFERROR(AVERAGE(_xlfn._xlws.FILTER($C:$C,($F:$F=AZ$1)*($B:$B=$I12))),"")</f>
        <v>29.872973345382501</v>
      </c>
      <c r="BA12" s="3" cm="1">
        <f t="array" ref="BA12">IFERROR(AVERAGE(_xlfn._xlws.FILTER($C:$C,($F:$F=BA$1)*($B:$B=$I12))),"")</f>
        <v>19.698460156354201</v>
      </c>
      <c r="BB12" s="3" cm="1">
        <f t="array" ref="BB12">IFERROR(AVERAGE(_xlfn._xlws.FILTER($C:$C,($F:$F=BB$1)*($B:$B=$I12))),"")</f>
        <v>37.536787569428903</v>
      </c>
      <c r="BC12" s="3" cm="1">
        <f t="array" ref="BC12">IFERROR(AVERAGE(_xlfn._xlws.FILTER($C:$C,($F:$F=BC$1)*($B:$B=$I12))),"")</f>
        <v>55.91808665859773</v>
      </c>
      <c r="BD12" s="3" cm="1">
        <f t="array" ref="BD12">IFERROR(AVERAGE(_xlfn._xlws.FILTER($C:$C,($F:$F=BD$1)*($B:$B=$I12))),"")</f>
        <v>23.413185620877698</v>
      </c>
      <c r="BE12" s="3" cm="1">
        <f t="array" ref="BE12">IFERROR(AVERAGE(_xlfn._xlws.FILTER($C:$C,($F:$F=BE$1)*($B:$B=$I12))),"")</f>
        <v>32.709406717115698</v>
      </c>
      <c r="BF12" s="3" t="str" cm="1">
        <f t="array" ref="BF12">IFERROR(AVERAGE(_xlfn._xlws.FILTER($C:$C,($F:$F=BF$1)*($B:$B=$I12))),"")</f>
        <v/>
      </c>
      <c r="BG12" s="3" cm="1">
        <f t="array" ref="BG12">IFERROR(AVERAGE(_xlfn._xlws.FILTER($C:$C,($F:$F=BG$1)*($B:$B=$I12))),"")</f>
        <v>41.909047057410703</v>
      </c>
      <c r="BH12" s="3" cm="1">
        <f t="array" ref="BH12">IFERROR(AVERAGE(_xlfn._xlws.FILTER($C:$C,($F:$F=BH$1)*($B:$B=$I12))),"")</f>
        <v>44.614356766387097</v>
      </c>
      <c r="BI12" s="3" cm="1">
        <f t="array" ref="BI12">IFERROR(AVERAGE(_xlfn._xlws.FILTER($C:$C,($F:$F=BI$1)*($B:$B=$I12))),"")</f>
        <v>11.3361705814924</v>
      </c>
      <c r="BJ12" s="3" cm="1">
        <f t="array" ref="BJ12">IFERROR(AVERAGE(_xlfn._xlws.FILTER($C:$C,($F:$F=BJ$1)*($B:$B=$I12))),"")</f>
        <v>59.877595845543397</v>
      </c>
      <c r="BK12" s="3" cm="1">
        <f t="array" ref="BK12">IFERROR(AVERAGE(_xlfn._xlws.FILTER($C:$C,($F:$F=BK$1)*($B:$B=$I12))),"")</f>
        <v>22.040382422846299</v>
      </c>
      <c r="BL12" s="3" cm="1">
        <f t="array" ref="BL12">IFERROR(AVERAGE(_xlfn._xlws.FILTER($C:$C,($F:$F=BL$1)*($B:$B=$I12))),"")</f>
        <v>16.789016881570198</v>
      </c>
      <c r="BM12" s="3" cm="1">
        <f t="array" ref="BM12">IFERROR(AVERAGE(_xlfn._xlws.FILTER($C:$C,($F:$F=BM$1)*($B:$B=$I12))),"")</f>
        <v>17.501034720415401</v>
      </c>
      <c r="BN12" s="3" cm="1">
        <f t="array" ref="BN12">IFERROR(AVERAGE(_xlfn._xlws.FILTER($C:$C,($F:$F=BN$1)*($B:$B=$I12))),"")</f>
        <v>51.903223831745898</v>
      </c>
      <c r="BO12" s="3" t="str" cm="1">
        <f t="array" ref="BO12">IFERROR(AVERAGE(_xlfn._xlws.FILTER($C:$C,($F:$F=BO$1)*($B:$B=$I12))),"")</f>
        <v/>
      </c>
      <c r="BP12" s="3" cm="1">
        <f t="array" ref="BP12">IFERROR(AVERAGE(_xlfn._xlws.FILTER($C:$C,($F:$F=BP$1)*($B:$B=$I12))),"")</f>
        <v>11.903317174623201</v>
      </c>
      <c r="BQ12" s="3" cm="1">
        <f t="array" ref="BQ12">IFERROR(AVERAGE(_xlfn._xlws.FILTER($C:$C,($F:$F=BQ$1)*($B:$B=$I12))),"")</f>
        <v>60.293268513501999</v>
      </c>
      <c r="BR12" s="3" cm="1">
        <f t="array" ref="BR12">IFERROR(AVERAGE(_xlfn._xlws.FILTER($C:$C,($F:$F=BR$1)*($B:$B=$I12))),"")</f>
        <v>27.98737484331815</v>
      </c>
      <c r="BS12" s="3" t="str" cm="1">
        <f t="array" ref="BS12">IFERROR(AVERAGE(_xlfn._xlws.FILTER($C:$C,($F:$F=BS$1)*($B:$B=$I12))),"")</f>
        <v/>
      </c>
      <c r="BT12" s="3" t="str" cm="1">
        <f t="array" ref="BT12">IFERROR(AVERAGE(_xlfn._xlws.FILTER($C:$C,($F:$F=BT$1)*($B:$B=$I12))),"")</f>
        <v/>
      </c>
      <c r="BU12" s="3" t="str" cm="1">
        <f t="array" ref="BU12">IFERROR(AVERAGE(_xlfn._xlws.FILTER($C:$C,($F:$F=BU$1)*($B:$B=$I12))),"")</f>
        <v/>
      </c>
      <c r="BV12" s="3" cm="1">
        <f t="array" ref="BV12">IFERROR(AVERAGE(_xlfn._xlws.FILTER($C:$C,($F:$F=BV$1)*($B:$B=$I12))),"")</f>
        <v>24.570575693750204</v>
      </c>
      <c r="BW12" s="3" t="str" cm="1">
        <f t="array" ref="BW12">IFERROR(AVERAGE(_xlfn._xlws.FILTER($C:$C,($F:$F=BW$1)*($B:$B=$I12))),"")</f>
        <v/>
      </c>
      <c r="BX12" s="3" cm="1">
        <f t="array" ref="BX12">IFERROR(AVERAGE(_xlfn._xlws.FILTER($C:$C,($F:$F=BX$1)*($B:$B=$I12))),"")</f>
        <v>24.291709421762199</v>
      </c>
      <c r="BY12" s="3" cm="1">
        <f t="array" ref="BY12">IFERROR(AVERAGE(_xlfn._xlws.FILTER($C:$C,($F:$F=BY$1)*($B:$B=$I12))),"")</f>
        <v>28.956728697736366</v>
      </c>
      <c r="BZ12" s="3" t="str" cm="1">
        <f t="array" ref="BZ12">IFERROR(AVERAGE(_xlfn._xlws.FILTER($C:$C,($F:$F=BZ$1)*($B:$B=$I12))),"")</f>
        <v/>
      </c>
      <c r="CA12" s="3" cm="1">
        <f t="array" ref="CA12">IFERROR(AVERAGE(_xlfn._xlws.FILTER($C:$C,($F:$F=CA$1)*($B:$B=$I12))),"")</f>
        <v>48.1593390758594</v>
      </c>
      <c r="CB12" s="3" cm="1">
        <f t="array" ref="CB12">IFERROR(AVERAGE(_xlfn._xlws.FILTER($C:$C,($F:$F=CB$1)*($B:$B=$I12))),"")</f>
        <v>17.346450161201101</v>
      </c>
      <c r="CC12" s="3" cm="1">
        <f t="array" ref="CC12">IFERROR(AVERAGE(_xlfn._xlws.FILTER($C:$C,($F:$F=CC$1)*($B:$B=$I12))),"")</f>
        <v>48.86733772761913</v>
      </c>
      <c r="CD12" s="3" t="str" cm="1">
        <f t="array" ref="CD12">IFERROR(AVERAGE(_xlfn._xlws.FILTER($C:$C,($F:$F=CD$1)*($B:$B=$I12))),"")</f>
        <v/>
      </c>
      <c r="CE12" s="3" cm="1">
        <f t="array" ref="CE12">IFERROR(AVERAGE(_xlfn._xlws.FILTER($C:$C,($F:$F=CE$1)*($B:$B=$I12))),"")</f>
        <v>40.9530708081518</v>
      </c>
      <c r="CF12" s="3" cm="1">
        <f t="array" ref="CF12">IFERROR(AVERAGE(_xlfn._xlws.FILTER($C:$C,($F:$F=CF$1)*($B:$B=$I12))),"")</f>
        <v>20.380344087952199</v>
      </c>
      <c r="CG12" s="3" cm="1">
        <f t="array" ref="CG12">IFERROR(AVERAGE(_xlfn._xlws.FILTER($C:$C,($F:$F=CG$1)*($B:$B=$I12))),"")</f>
        <v>48.812149279986301</v>
      </c>
      <c r="CH12" s="3" cm="1">
        <f t="array" ref="CH12">IFERROR(AVERAGE(_xlfn._xlws.FILTER($C:$C,($F:$F=CH$1)*($B:$B=$I12))),"")</f>
        <v>81.8059345713298</v>
      </c>
      <c r="CI12" s="3" cm="1">
        <f t="array" ref="CI12">IFERROR(AVERAGE(_xlfn._xlws.FILTER($C:$C,($F:$F=CI$1)*($B:$B=$I12))),"")</f>
        <v>23.1002466980332</v>
      </c>
      <c r="CJ12" s="3" cm="1">
        <f t="array" ref="CJ12">IFERROR(AVERAGE(_xlfn._xlws.FILTER($C:$C,($F:$F=CJ$1)*($B:$B=$I12))),"")</f>
        <v>46.427619047618997</v>
      </c>
      <c r="CK12" s="3" cm="1">
        <f t="array" ref="CK12">IFERROR(AVERAGE(_xlfn._xlws.FILTER($C:$C,($F:$F=CK$1)*($B:$B=$I12))),"")</f>
        <v>33.064335550854402</v>
      </c>
      <c r="CL12" s="3" cm="1">
        <f t="array" ref="CL12">IFERROR(AVERAGE(_xlfn._xlws.FILTER($C:$C,($F:$F=CL$1)*($B:$B=$I12))),"")</f>
        <v>15.936231721612762</v>
      </c>
      <c r="CM12" s="3" cm="1">
        <f t="array" ref="CM12">IFERROR(AVERAGE(_xlfn._xlws.FILTER($C:$C,($F:$F=CM$1)*($B:$B=$I12))),"")</f>
        <v>32.581509355539602</v>
      </c>
      <c r="CN12" s="3" cm="1">
        <f t="array" ref="CN12">IFERROR(AVERAGE(_xlfn._xlws.FILTER($C:$C,($F:$F=CN$1)*($B:$B=$I12))),"")</f>
        <v>52.447654989452502</v>
      </c>
      <c r="CO12" s="3" cm="1">
        <f t="array" ref="CO12">IFERROR(AVERAGE(_xlfn._xlws.FILTER($C:$C,($F:$F=CO$1)*($B:$B=$I12))),"")</f>
        <v>13.576445415281929</v>
      </c>
      <c r="CP12" s="3" cm="1">
        <f t="array" ref="CP12">IFERROR(AVERAGE(_xlfn._xlws.FILTER($C:$C,($F:$F=CP$1)*($B:$B=$I12))),"")</f>
        <v>35.723614394560663</v>
      </c>
      <c r="CQ12" s="3" cm="1">
        <f t="array" ref="CQ12">IFERROR(AVERAGE(_xlfn._xlws.FILTER($C:$C,($F:$F=CQ$1)*($B:$B=$I12))),"")</f>
        <v>84.918709823669005</v>
      </c>
      <c r="CR12" s="3" cm="1">
        <f t="array" ref="CR12">IFERROR(AVERAGE(_xlfn._xlws.FILTER($C:$C,($F:$F=CR$1)*($B:$B=$I12))),"")</f>
        <v>8.6016606993819771</v>
      </c>
      <c r="CS12" s="3" cm="1">
        <f t="array" ref="CS12">IFERROR(AVERAGE(_xlfn._xlws.FILTER($C:$C,($F:$F=CS$1)*($B:$B=$I12))),"")</f>
        <v>6.7958098162831417</v>
      </c>
      <c r="CT12" s="3" cm="1">
        <f t="array" ref="CT12">IFERROR(AVERAGE(_xlfn._xlws.FILTER($C:$C,($F:$F=CT$1)*($B:$B=$I12))),"")</f>
        <v>65.598125562969642</v>
      </c>
      <c r="CU12" s="3" cm="1">
        <f t="array" ref="CU12">IFERROR(AVERAGE(_xlfn._xlws.FILTER($C:$C,($F:$F=CU$1)*($B:$B=$I12))),"")</f>
        <v>20.861984456933467</v>
      </c>
      <c r="CV12" s="3" cm="1">
        <f t="array" ref="CV12">IFERROR(AVERAGE(_xlfn._xlws.FILTER($C:$C,($F:$F=CV$1)*($B:$B=$I12))),"")</f>
        <v>31.788169632976999</v>
      </c>
      <c r="CW12" s="3" cm="1">
        <f t="array" ref="CW12">IFERROR(AVERAGE(_xlfn._xlws.FILTER($C:$C,($F:$F=CW$1)*($B:$B=$I12))),"")</f>
        <v>16.8861118966555</v>
      </c>
      <c r="CX12" s="3" cm="1">
        <f t="array" ref="CX12">IFERROR(AVERAGE(_xlfn._xlws.FILTER($C:$C,($F:$F=CX$1)*($B:$B=$I12))),"")</f>
        <v>38.478067724071302</v>
      </c>
      <c r="CY12" s="3" cm="1">
        <f t="array" ref="CY12">IFERROR(AVERAGE(_xlfn._xlws.FILTER($C:$C,($F:$F=CY$1)*($B:$B=$I12))),"")</f>
        <v>53.388616138509974</v>
      </c>
      <c r="CZ12" s="3" cm="1">
        <f t="array" ref="CZ12">IFERROR(AVERAGE(_xlfn._xlws.FILTER($C:$C,($F:$F=CZ$1)*($B:$B=$I12))),"")</f>
        <v>21.3914675925549</v>
      </c>
      <c r="DA12" s="3" cm="1">
        <f t="array" ref="DA12">IFERROR(AVERAGE(_xlfn._xlws.FILTER($C:$C,($F:$F=DA$1)*($B:$B=$I12))),"")</f>
        <v>43.484708704375564</v>
      </c>
      <c r="DB12" s="3" cm="1">
        <f t="array" ref="DB12">IFERROR(AVERAGE(_xlfn._xlws.FILTER($C:$C,($F:$F=DB$1)*($B:$B=$I12))),"")</f>
        <v>17.423167712494799</v>
      </c>
      <c r="DC12" s="3" t="str" cm="1">
        <f t="array" ref="DC12">IFERROR(AVERAGE(_xlfn._xlws.FILTER($C:$C,($F:$F=DC$1)*($B:$B=$I12))),"")</f>
        <v/>
      </c>
      <c r="DD12" s="3" t="str" cm="1">
        <f t="array" ref="DD12">IFERROR(AVERAGE(_xlfn._xlws.FILTER($C:$C,($F:$F=DD$1)*($B:$B=$I12))),"")</f>
        <v/>
      </c>
      <c r="DE12" s="3" cm="1">
        <f t="array" ref="DE12">IFERROR(AVERAGE(_xlfn._xlws.FILTER($C:$C,($F:$F=DE$1)*($B:$B=$I12))),"")</f>
        <v>31.127907345995101</v>
      </c>
      <c r="DF12" s="3" cm="1">
        <f t="array" ref="DF12">IFERROR(AVERAGE(_xlfn._xlws.FILTER($C:$C,($F:$F=DF$1)*($B:$B=$I12))),"")</f>
        <v>60.225593322984977</v>
      </c>
      <c r="DG12" s="3" cm="1">
        <f t="array" ref="DG12">IFERROR(AVERAGE(_xlfn._xlws.FILTER($C:$C,($F:$F=DG$1)*($B:$B=$I12))),"")</f>
        <v>20.1213830919306</v>
      </c>
      <c r="DH12" s="3" t="str" cm="1">
        <f t="array" ref="DH12">IFERROR(AVERAGE(_xlfn._xlws.FILTER($C:$C,($F:$F=DH$1)*($B:$B=$I12))),"")</f>
        <v/>
      </c>
      <c r="DI12" s="3" cm="1">
        <f t="array" ref="DI12">IFERROR(AVERAGE(_xlfn._xlws.FILTER($C:$C,($F:$F=DI$1)*($B:$B=$I12))),"")</f>
        <v>20.663456241187674</v>
      </c>
      <c r="DJ12" s="3" cm="1">
        <f t="array" ref="DJ12">IFERROR(AVERAGE(_xlfn._xlws.FILTER($C:$C,($F:$F=DJ$1)*($B:$B=$I12))),"")</f>
        <v>51.247500000000002</v>
      </c>
      <c r="DK12" s="3" cm="1">
        <f t="array" ref="DK12">IFERROR(AVERAGE(_xlfn._xlws.FILTER($C:$C,($F:$F=DK$1)*($B:$B=$I12))),"")</f>
        <v>49.655362505587703</v>
      </c>
      <c r="DL12" s="3" cm="1">
        <f t="array" ref="DL12">IFERROR(AVERAGE(_xlfn._xlws.FILTER($C:$C,($F:$F=DL$1)*($B:$B=$I12))),"")</f>
        <v>15.196334319355</v>
      </c>
      <c r="DM12" s="3" cm="1">
        <f t="array" ref="DM12">IFERROR(AVERAGE(_xlfn._xlws.FILTER($C:$C,($F:$F=DM$1)*($B:$B=$I12))),"")</f>
        <v>15.185940472880743</v>
      </c>
      <c r="DN12" s="3" cm="1">
        <f t="array" ref="DN12">IFERROR(AVERAGE(_xlfn._xlws.FILTER($C:$C,($F:$F=DN$1)*($B:$B=$I12))),"")</f>
        <v>69.0640247516843</v>
      </c>
      <c r="DO12" s="3" cm="1">
        <f t="array" ref="DO12">IFERROR(AVERAGE(_xlfn._xlws.FILTER($C:$C,($F:$F=DO$1)*($B:$B=$I12))),"")</f>
        <v>5.2315665116313186</v>
      </c>
      <c r="DP12" s="3" cm="1">
        <f t="array" ref="DP12">IFERROR(AVERAGE(_xlfn._xlws.FILTER($C:$C,($F:$F=DP$1)*($B:$B=$I12))),"")</f>
        <v>95.95076953791424</v>
      </c>
      <c r="DQ12" s="3" cm="1">
        <f t="array" ref="DQ12">IFERROR(AVERAGE(_xlfn._xlws.FILTER($C:$C,($F:$F=DQ$1)*($B:$B=$I12))),"")</f>
        <v>37.917396169057604</v>
      </c>
      <c r="DR12" s="3" cm="1">
        <f t="array" ref="DR12">IFERROR(AVERAGE(_xlfn._xlws.FILTER($C:$C,($F:$F=DR$1)*($B:$B=$I12))),"")</f>
        <v>65.834641695564912</v>
      </c>
      <c r="DS12" s="3" cm="1">
        <f t="array" ref="DS12">IFERROR(AVERAGE(_xlfn._xlws.FILTER($C:$C,($F:$F=DS$1)*($B:$B=$I12))),"")</f>
        <v>31.760325584263299</v>
      </c>
      <c r="DT12" s="3" cm="1">
        <f t="array" ref="DT12">IFERROR(AVERAGE(_xlfn._xlws.FILTER($C:$C,($F:$F=DT$1)*($B:$B=$I12))),"")</f>
        <v>33.555714285714302</v>
      </c>
      <c r="DU12" s="3" cm="1">
        <f t="array" ref="DU12">IFERROR(AVERAGE(_xlfn._xlws.FILTER($C:$C,($F:$F=DU$1)*($B:$B=$I12))),"")</f>
        <v>9.1125000000000007</v>
      </c>
      <c r="DV12" s="3" cm="1">
        <f t="array" ref="DV12">IFERROR(AVERAGE(_xlfn._xlws.FILTER($C:$C,($F:$F=DV$1)*($B:$B=$I12))),"")</f>
        <v>10.573917748392695</v>
      </c>
      <c r="DW12" s="3" t="str" cm="1">
        <f t="array" ref="DW12">IFERROR(AVERAGE(_xlfn._xlws.FILTER($C:$C,($F:$F=DW$1)*($B:$B=$I12))),"")</f>
        <v/>
      </c>
      <c r="DX12" s="3"/>
      <c r="DZ12">
        <f t="shared" si="0"/>
        <v>95.95076953791424</v>
      </c>
      <c r="EA12" t="str" cm="1">
        <f t="array" ref="EA12">INDEX($J$1:$DW$1,0,MATCH(DZ12,J12:JDW12,0))</f>
        <v>United Arab Emirates</v>
      </c>
      <c r="ED12">
        <f t="shared" si="1"/>
        <v>5.2315665116313186</v>
      </c>
      <c r="EE12" t="str" cm="1">
        <f t="array" ref="EE12">INDEX($J$1:$DW$1,0,MATCH(ED12,J12:JDW12,0))</f>
        <v>Ukraine</v>
      </c>
    </row>
    <row r="13" spans="1:135" x14ac:dyDescent="0.2">
      <c r="A13">
        <v>48655992</v>
      </c>
      <c r="B13">
        <v>2015</v>
      </c>
      <c r="C13">
        <v>30.7554339565283</v>
      </c>
      <c r="D13" t="s">
        <v>707</v>
      </c>
      <c r="E13" t="s">
        <v>436</v>
      </c>
      <c r="F13" t="s">
        <v>19</v>
      </c>
      <c r="I13" s="2">
        <v>2021</v>
      </c>
      <c r="J13" s="3">
        <f>IF(_xlfn.FORECAST.ETS($I13,J$2:J$12,_xlfn.ANCHORARRAY($I$2),1,1)&gt;0,_xlfn.FORECAST.ETS($I13,J$2:J$12,_xlfn.ANCHORARRAY($I$2),1,1),J12)</f>
        <v>19.489023368067439</v>
      </c>
      <c r="K13" s="3">
        <f t="shared" ref="K13:BV16" si="2">IF(_xlfn.FORECAST.ETS($I13,K$2:K$12,_xlfn.ANCHORARRAY($I$2),1,1)&gt;0,_xlfn.FORECAST.ETS($I13,K$2:K$12,_xlfn.ANCHORARRAY($I$2),1,1),K12)</f>
        <v>33.759048146946071</v>
      </c>
      <c r="L13" s="3">
        <f t="shared" si="2"/>
        <v>37.905228240156532</v>
      </c>
      <c r="M13" s="3">
        <f t="shared" si="2"/>
        <v>16.629703801328425</v>
      </c>
      <c r="N13" s="3">
        <f t="shared" si="2"/>
        <v>50.643792896848161</v>
      </c>
      <c r="O13" s="3">
        <f t="shared" si="2"/>
        <v>38.580092986915403</v>
      </c>
      <c r="P13" s="3">
        <f t="shared" si="2"/>
        <v>19.216539707007566</v>
      </c>
      <c r="Q13" s="3">
        <f t="shared" si="2"/>
        <v>60.457200790635426</v>
      </c>
      <c r="R13" s="3">
        <f t="shared" si="2"/>
        <v>27.088494134070622</v>
      </c>
      <c r="S13" s="3">
        <f t="shared" si="2"/>
        <v>11.002923510335647</v>
      </c>
      <c r="T13" s="3">
        <f t="shared" si="2"/>
        <v>50.30362288836762</v>
      </c>
      <c r="U13" s="3">
        <f t="shared" si="2"/>
        <v>52.275213746268065</v>
      </c>
      <c r="V13" s="3">
        <f t="shared" si="2"/>
        <v>22.531967751458151</v>
      </c>
      <c r="W13" s="3">
        <f t="shared" si="2"/>
        <v>74.932940353962707</v>
      </c>
      <c r="X13" s="3">
        <f t="shared" si="2"/>
        <v>22.398001178390686</v>
      </c>
      <c r="Y13" s="3" t="e">
        <f t="shared" si="2"/>
        <v>#NUM!</v>
      </c>
      <c r="Z13" s="3">
        <f t="shared" si="2"/>
        <v>11.316289405090739</v>
      </c>
      <c r="AA13" s="3">
        <f t="shared" si="2"/>
        <v>11.159749818112896</v>
      </c>
      <c r="AB13" s="3">
        <f>IF(_xlfn.FORECAST.ETS($I13,AB$2:AB$12,_xlfn.ANCHORARRAY($I$2),1,1)&gt;0,_xlfn.FORECAST.ETS($I13,AB$2:AB$12,_xlfn.ANCHORARRAY($I$2),3,1),AB12)</f>
        <v>56.25719304182028</v>
      </c>
      <c r="AC13" s="3">
        <f t="shared" si="2"/>
        <v>32.211674476388836</v>
      </c>
      <c r="AD13" s="3">
        <f t="shared" si="2"/>
        <v>28.173847876019057</v>
      </c>
      <c r="AE13" s="3">
        <f t="shared" si="2"/>
        <v>62.933501159118514</v>
      </c>
      <c r="AF13" s="3">
        <f t="shared" si="2"/>
        <v>27.750058425821408</v>
      </c>
      <c r="AG13" s="3">
        <f t="shared" si="2"/>
        <v>46.444635557216955</v>
      </c>
      <c r="AH13" s="3">
        <f t="shared" si="2"/>
        <v>18.416265062347374</v>
      </c>
      <c r="AI13" s="3">
        <f t="shared" si="2"/>
        <v>45.09731009459172</v>
      </c>
      <c r="AJ13" s="3">
        <f t="shared" si="2"/>
        <v>36.033443804102731</v>
      </c>
      <c r="AK13" s="3">
        <f t="shared" si="2"/>
        <v>12.455926614376516</v>
      </c>
      <c r="AL13" s="3">
        <f t="shared" si="2"/>
        <v>49.654355711319653</v>
      </c>
      <c r="AM13" s="3">
        <f t="shared" si="2"/>
        <v>24.557192112584396</v>
      </c>
      <c r="AN13" s="3" t="e">
        <f t="shared" si="2"/>
        <v>#DIV/0!</v>
      </c>
      <c r="AO13" s="3">
        <f t="shared" si="2"/>
        <v>22.344419577955996</v>
      </c>
      <c r="AP13" s="3">
        <f t="shared" si="2"/>
        <v>27.433459536977583</v>
      </c>
      <c r="AQ13" s="3">
        <f t="shared" si="2"/>
        <v>14.862878228771896</v>
      </c>
      <c r="AR13" s="3">
        <f t="shared" si="2"/>
        <v>35.021532855389651</v>
      </c>
      <c r="AS13" s="3" t="e">
        <f t="shared" si="2"/>
        <v>#NUM!</v>
      </c>
      <c r="AT13" s="3">
        <f t="shared" si="2"/>
        <v>31.835812959922706</v>
      </c>
      <c r="AU13" s="3">
        <f t="shared" si="2"/>
        <v>87.043604492707942</v>
      </c>
      <c r="AV13" s="3">
        <f t="shared" si="2"/>
        <v>132.74603174603172</v>
      </c>
      <c r="AW13" s="3">
        <f t="shared" si="2"/>
        <v>10.321576934426869</v>
      </c>
      <c r="AX13" s="3">
        <f t="shared" si="2"/>
        <v>70.039595973443454</v>
      </c>
      <c r="AY13" s="3">
        <f t="shared" si="2"/>
        <v>10.112357307170841</v>
      </c>
      <c r="AZ13" s="3">
        <f t="shared" si="2"/>
        <v>30.67373018546888</v>
      </c>
      <c r="BA13" s="3">
        <f t="shared" si="2"/>
        <v>35.780239138916102</v>
      </c>
      <c r="BB13" s="3">
        <f t="shared" si="2"/>
        <v>34.48847229034314</v>
      </c>
      <c r="BC13" s="3">
        <f t="shared" si="2"/>
        <v>58.930232937203236</v>
      </c>
      <c r="BD13" s="3">
        <f t="shared" si="2"/>
        <v>22.790554043656822</v>
      </c>
      <c r="BE13" s="3">
        <f t="shared" si="2"/>
        <v>31.318802509578429</v>
      </c>
      <c r="BF13" s="3" t="e">
        <f t="shared" si="2"/>
        <v>#NUM!</v>
      </c>
      <c r="BG13" s="3">
        <f t="shared" si="2"/>
        <v>43.394862232037944</v>
      </c>
      <c r="BH13" s="3">
        <f t="shared" si="2"/>
        <v>43.757297698484521</v>
      </c>
      <c r="BI13" s="3">
        <f t="shared" si="2"/>
        <v>8.4082898896040579</v>
      </c>
      <c r="BJ13" s="3">
        <f t="shared" si="2"/>
        <v>64.343303808368518</v>
      </c>
      <c r="BK13" s="3">
        <f t="shared" si="2"/>
        <v>10.494894852061876</v>
      </c>
      <c r="BL13" s="3">
        <f t="shared" si="2"/>
        <v>18.012096250444721</v>
      </c>
      <c r="BM13" s="3">
        <f t="shared" si="2"/>
        <v>17.338878561798996</v>
      </c>
      <c r="BN13" s="3">
        <f t="shared" si="2"/>
        <v>50.856519958527393</v>
      </c>
      <c r="BO13" s="3" t="e">
        <f t="shared" si="2"/>
        <v>#NUM!</v>
      </c>
      <c r="BP13" s="3">
        <f t="shared" si="2"/>
        <v>10.251633823015109</v>
      </c>
      <c r="BQ13" s="3">
        <f t="shared" si="2"/>
        <v>60.437769636023404</v>
      </c>
      <c r="BR13" s="3">
        <f t="shared" si="2"/>
        <v>27.184632107931954</v>
      </c>
      <c r="BS13" s="3">
        <f t="shared" si="2"/>
        <v>109.03931159997052</v>
      </c>
      <c r="BT13" s="3" t="e">
        <f t="shared" si="2"/>
        <v>#DIV/0!</v>
      </c>
      <c r="BU13" s="3">
        <f t="shared" si="2"/>
        <v>25.395938996673237</v>
      </c>
      <c r="BV13" s="3">
        <f t="shared" si="2"/>
        <v>19.666262809518276</v>
      </c>
      <c r="BW13" s="3">
        <f t="shared" ref="BW13:DW17" si="3">IF(_xlfn.FORECAST.ETS($I13,BW$2:BW$12,_xlfn.ANCHORARRAY($I$2),1,1)&gt;0,_xlfn.FORECAST.ETS($I13,BW$2:BW$12,_xlfn.ANCHORARRAY($I$2),1,1),BW12)</f>
        <v>6.4758758005197938</v>
      </c>
      <c r="BX13" s="3">
        <f t="shared" si="3"/>
        <v>27.92187776019648</v>
      </c>
      <c r="BY13" s="3">
        <f t="shared" si="3"/>
        <v>34.587939721811203</v>
      </c>
      <c r="BZ13" s="3" t="e">
        <f t="shared" si="3"/>
        <v>#DIV/0!</v>
      </c>
      <c r="CA13" s="3">
        <f t="shared" si="3"/>
        <v>46.318514193239743</v>
      </c>
      <c r="CB13" s="3">
        <f t="shared" si="3"/>
        <v>13.477548043486964</v>
      </c>
      <c r="CC13" s="3">
        <f t="shared" si="3"/>
        <v>50.384530026109097</v>
      </c>
      <c r="CD13" s="3">
        <f t="shared" si="3"/>
        <v>73.366042771904191</v>
      </c>
      <c r="CE13" s="3">
        <f t="shared" si="3"/>
        <v>33.836152814381215</v>
      </c>
      <c r="CF13" s="3">
        <f t="shared" si="3"/>
        <v>19.587524355019418</v>
      </c>
      <c r="CG13" s="3">
        <f t="shared" si="3"/>
        <v>51.993735092627581</v>
      </c>
      <c r="CH13" s="3">
        <f t="shared" si="3"/>
        <v>76.100825033283868</v>
      </c>
      <c r="CI13" s="3">
        <f t="shared" si="3"/>
        <v>23.991932422823666</v>
      </c>
      <c r="CJ13" s="3">
        <f t="shared" si="3"/>
        <v>50.715523980252243</v>
      </c>
      <c r="CK13" s="3">
        <f t="shared" si="3"/>
        <v>24.792832937504667</v>
      </c>
      <c r="CL13" s="3">
        <f t="shared" si="3"/>
        <v>14.174202148250414</v>
      </c>
      <c r="CM13" s="3">
        <f t="shared" si="3"/>
        <v>30.491870732510868</v>
      </c>
      <c r="CN13" s="3">
        <f t="shared" si="3"/>
        <v>54.955469863502962</v>
      </c>
      <c r="CO13" s="3">
        <f t="shared" si="3"/>
        <v>12.882267277427523</v>
      </c>
      <c r="CP13" s="3">
        <f t="shared" si="3"/>
        <v>37.424442278028906</v>
      </c>
      <c r="CQ13" s="3">
        <f t="shared" si="3"/>
        <v>77.295229573151616</v>
      </c>
      <c r="CR13" s="3">
        <f t="shared" si="3"/>
        <v>8.5724191461213515</v>
      </c>
      <c r="CS13" s="3">
        <f t="shared" si="3"/>
        <v>4.8043867621496847</v>
      </c>
      <c r="CT13" s="3">
        <f t="shared" si="3"/>
        <v>64.552199204487636</v>
      </c>
      <c r="CU13" s="3">
        <f t="shared" si="3"/>
        <v>18.189117455598787</v>
      </c>
      <c r="CV13" s="3">
        <f t="shared" si="3"/>
        <v>31.882618885419152</v>
      </c>
      <c r="CW13" s="3">
        <f t="shared" si="3"/>
        <v>17.878370720717164</v>
      </c>
      <c r="CX13" s="3">
        <f t="shared" si="3"/>
        <v>38.796413849991168</v>
      </c>
      <c r="CY13" s="3">
        <f t="shared" si="3"/>
        <v>56.90137856304559</v>
      </c>
      <c r="CZ13" s="3">
        <f t="shared" si="3"/>
        <v>22.600922190711966</v>
      </c>
      <c r="DA13" s="3">
        <f t="shared" si="3"/>
        <v>44.940834890807551</v>
      </c>
      <c r="DB13" s="3">
        <f t="shared" si="3"/>
        <v>14.567832282011413</v>
      </c>
      <c r="DC13" s="3" t="e">
        <f t="shared" si="3"/>
        <v>#DIV/0!</v>
      </c>
      <c r="DD13" s="3">
        <f t="shared" si="3"/>
        <v>28.389022326762323</v>
      </c>
      <c r="DE13" s="3">
        <f t="shared" si="3"/>
        <v>32.165203449153196</v>
      </c>
      <c r="DF13" s="3">
        <f t="shared" si="3"/>
        <v>61.120140911739192</v>
      </c>
      <c r="DG13" s="3">
        <f t="shared" si="3"/>
        <v>23.822275427256852</v>
      </c>
      <c r="DH13" s="3" t="e">
        <f t="shared" si="3"/>
        <v>#NUM!</v>
      </c>
      <c r="DI13" s="3">
        <f t="shared" si="3"/>
        <v>21.582214266369355</v>
      </c>
      <c r="DJ13" s="3">
        <f t="shared" si="3"/>
        <v>66.667884358484031</v>
      </c>
      <c r="DK13" s="3">
        <f t="shared" si="3"/>
        <v>51.331674052200462</v>
      </c>
      <c r="DL13" s="3">
        <f t="shared" si="3"/>
        <v>15.755074521572716</v>
      </c>
      <c r="DM13" s="3">
        <f t="shared" si="3"/>
        <v>9.9189628459460231</v>
      </c>
      <c r="DN13" s="3">
        <f t="shared" si="3"/>
        <v>67.003966085438833</v>
      </c>
      <c r="DO13" s="3">
        <f t="shared" si="3"/>
        <v>4.566726773716403</v>
      </c>
      <c r="DP13" s="3">
        <f t="shared" si="3"/>
        <v>97.067945461991499</v>
      </c>
      <c r="DQ13" s="3">
        <f t="shared" si="3"/>
        <v>40.511250006481191</v>
      </c>
      <c r="DR13" s="3">
        <f t="shared" si="3"/>
        <v>68.770877278532438</v>
      </c>
      <c r="DS13" s="3">
        <f t="shared" si="3"/>
        <v>28.761963453134516</v>
      </c>
      <c r="DT13" s="3">
        <f t="shared" si="3"/>
        <v>39.811643334961254</v>
      </c>
      <c r="DU13" s="3">
        <f t="shared" si="3"/>
        <v>9.1125000000000007</v>
      </c>
      <c r="DV13" s="3">
        <f t="shared" si="3"/>
        <v>9.3267367758224147</v>
      </c>
      <c r="DW13" s="3" t="e">
        <f t="shared" si="3"/>
        <v>#NUM!</v>
      </c>
      <c r="DX13" s="3"/>
      <c r="DZ13">
        <f t="shared" si="0"/>
        <v>132.74603174603172</v>
      </c>
      <c r="EA13" t="str" cm="1">
        <f t="array" ref="EA13">INDEX($J$1:$DW$1,0,MATCH(DZ13,J13:JDW13,0))</f>
        <v>Honduras</v>
      </c>
      <c r="ED13">
        <f t="shared" si="1"/>
        <v>4.566726773716403</v>
      </c>
      <c r="EE13" t="str" cm="1">
        <f t="array" ref="EE13">INDEX($J$1:$DW$1,0,MATCH(ED13,J13:JDW13,0))</f>
        <v>Ukraine</v>
      </c>
    </row>
    <row r="14" spans="1:135" x14ac:dyDescent="0.2">
      <c r="A14">
        <v>48655992</v>
      </c>
      <c r="B14">
        <v>2013</v>
      </c>
      <c r="C14">
        <v>31.6666666666667</v>
      </c>
      <c r="D14" t="s">
        <v>707</v>
      </c>
      <c r="E14" t="s">
        <v>436</v>
      </c>
      <c r="F14" t="s">
        <v>19</v>
      </c>
      <c r="I14" s="2">
        <v>2022</v>
      </c>
      <c r="J14" s="3">
        <f t="shared" ref="J14:Y17" si="4">IF(_xlfn.FORECAST.ETS($I14,J$2:J$12,_xlfn.ANCHORARRAY($I$2),1,1)&gt;0,_xlfn.FORECAST.ETS($I14,J$2:J$12,_xlfn.ANCHORARRAY($I$2),1,1),J13)</f>
        <v>17.911503804510634</v>
      </c>
      <c r="K14" s="3">
        <f t="shared" si="2"/>
        <v>33.694714907582558</v>
      </c>
      <c r="L14" s="3">
        <f t="shared" si="2"/>
        <v>38.180924759080277</v>
      </c>
      <c r="M14" s="3">
        <f t="shared" si="2"/>
        <v>15.894516957475854</v>
      </c>
      <c r="N14" s="3">
        <f t="shared" si="2"/>
        <v>50.369328432935518</v>
      </c>
      <c r="O14" s="3">
        <f t="shared" si="2"/>
        <v>39.073820274059578</v>
      </c>
      <c r="P14" s="3">
        <f t="shared" si="2"/>
        <v>20.109467411891899</v>
      </c>
      <c r="Q14" s="3">
        <f t="shared" si="2"/>
        <v>60.394093887678949</v>
      </c>
      <c r="R14" s="3">
        <f t="shared" si="2"/>
        <v>25.802993433355994</v>
      </c>
      <c r="S14" s="3">
        <f t="shared" si="2"/>
        <v>10.10172649374157</v>
      </c>
      <c r="T14" s="3">
        <f t="shared" si="2"/>
        <v>50.250583017478554</v>
      </c>
      <c r="U14" s="3">
        <f t="shared" si="2"/>
        <v>55.350411174326993</v>
      </c>
      <c r="V14" s="3">
        <f t="shared" si="2"/>
        <v>22.631692483978416</v>
      </c>
      <c r="W14" s="3">
        <f t="shared" si="2"/>
        <v>80.647722415696904</v>
      </c>
      <c r="X14" s="3">
        <f t="shared" si="2"/>
        <v>20.510908814466923</v>
      </c>
      <c r="Y14" s="3" t="e">
        <f t="shared" si="2"/>
        <v>#NUM!</v>
      </c>
      <c r="Z14" s="3">
        <f t="shared" si="2"/>
        <v>11.314831703380664</v>
      </c>
      <c r="AA14" s="3">
        <f t="shared" si="2"/>
        <v>18.044935120942018</v>
      </c>
      <c r="AB14" s="3">
        <f t="shared" ref="AB14:AB17" si="5">IF(_xlfn.FORECAST.ETS($I14,AB$2:AB$12,_xlfn.ANCHORARRAY($I$2),1,1)&gt;0,_xlfn.FORECAST.ETS($I14,AB$2:AB$12,_xlfn.ANCHORARRAY($I$2),3,1),AB13)</f>
        <v>58.076631618714686</v>
      </c>
      <c r="AC14" s="3">
        <f t="shared" si="2"/>
        <v>43.913704896414039</v>
      </c>
      <c r="AD14" s="3">
        <f t="shared" si="2"/>
        <v>27.682578305567059</v>
      </c>
      <c r="AE14" s="3">
        <f t="shared" si="2"/>
        <v>64.47629905938085</v>
      </c>
      <c r="AF14" s="3">
        <f t="shared" si="2"/>
        <v>28.029802206196898</v>
      </c>
      <c r="AG14" s="3">
        <f t="shared" si="2"/>
        <v>46.020602974117665</v>
      </c>
      <c r="AH14" s="3">
        <f t="shared" si="2"/>
        <v>17.811139396236296</v>
      </c>
      <c r="AI14" s="3">
        <f t="shared" si="2"/>
        <v>42.009520145843766</v>
      </c>
      <c r="AJ14" s="3">
        <f t="shared" si="2"/>
        <v>34.940380444001399</v>
      </c>
      <c r="AK14" s="3">
        <f t="shared" si="2"/>
        <v>8.6016748626956225</v>
      </c>
      <c r="AL14" s="3">
        <f t="shared" si="2"/>
        <v>44.896797396548891</v>
      </c>
      <c r="AM14" s="3">
        <f t="shared" si="2"/>
        <v>25.039406254724483</v>
      </c>
      <c r="AN14" s="3" t="e">
        <f t="shared" si="2"/>
        <v>#DIV/0!</v>
      </c>
      <c r="AO14" s="3">
        <f t="shared" si="2"/>
        <v>21.861586150993567</v>
      </c>
      <c r="AP14" s="3">
        <f t="shared" si="2"/>
        <v>26.30964651028145</v>
      </c>
      <c r="AQ14" s="3">
        <f t="shared" si="2"/>
        <v>14.727578179751772</v>
      </c>
      <c r="AR14" s="3">
        <f t="shared" si="2"/>
        <v>35.457345187490596</v>
      </c>
      <c r="AS14" s="3" t="e">
        <f t="shared" si="2"/>
        <v>#NUM!</v>
      </c>
      <c r="AT14" s="3">
        <f t="shared" si="2"/>
        <v>32.653741569239109</v>
      </c>
      <c r="AU14" s="3">
        <f t="shared" si="2"/>
        <v>92.738679267252536</v>
      </c>
      <c r="AV14" s="3">
        <f t="shared" si="2"/>
        <v>164.47619047619042</v>
      </c>
      <c r="AW14" s="3">
        <f t="shared" si="2"/>
        <v>8.9006840105450973</v>
      </c>
      <c r="AX14" s="3">
        <f t="shared" si="2"/>
        <v>72.795517695505268</v>
      </c>
      <c r="AY14" s="3">
        <f t="shared" si="2"/>
        <v>9.6278003371810783</v>
      </c>
      <c r="AZ14" s="3">
        <f t="shared" si="2"/>
        <v>30.229982003336158</v>
      </c>
      <c r="BA14" s="3">
        <f t="shared" si="2"/>
        <v>35.540256383619209</v>
      </c>
      <c r="BB14" s="3">
        <f t="shared" si="2"/>
        <v>31.593439515168537</v>
      </c>
      <c r="BC14" s="3">
        <f t="shared" si="2"/>
        <v>60.831752991828033</v>
      </c>
      <c r="BD14" s="3">
        <f t="shared" si="2"/>
        <v>21.914706800305076</v>
      </c>
      <c r="BE14" s="3">
        <f t="shared" si="2"/>
        <v>31.078268544302716</v>
      </c>
      <c r="BF14" s="3" t="e">
        <f t="shared" si="2"/>
        <v>#NUM!</v>
      </c>
      <c r="BG14" s="3">
        <f t="shared" si="2"/>
        <v>44.287052765341251</v>
      </c>
      <c r="BH14" s="3">
        <f t="shared" si="2"/>
        <v>42.900238630581946</v>
      </c>
      <c r="BI14" s="3">
        <f t="shared" si="2"/>
        <v>5.7462935992019277</v>
      </c>
      <c r="BJ14" s="3">
        <f t="shared" si="2"/>
        <v>66.411165994535864</v>
      </c>
      <c r="BK14" s="3">
        <f t="shared" si="2"/>
        <v>3.4729701536034145</v>
      </c>
      <c r="BL14" s="3">
        <f t="shared" si="2"/>
        <v>18.63344672105497</v>
      </c>
      <c r="BM14" s="3">
        <f t="shared" si="2"/>
        <v>17.167265878293613</v>
      </c>
      <c r="BN14" s="3">
        <f t="shared" si="2"/>
        <v>50.336765715033252</v>
      </c>
      <c r="BO14" s="3" t="e">
        <f t="shared" si="2"/>
        <v>#NUM!</v>
      </c>
      <c r="BP14" s="3">
        <f t="shared" si="2"/>
        <v>9.7969924605511913</v>
      </c>
      <c r="BQ14" s="3">
        <f t="shared" si="2"/>
        <v>61.239518078383952</v>
      </c>
      <c r="BR14" s="3">
        <f t="shared" si="2"/>
        <v>26.235038017258507</v>
      </c>
      <c r="BS14" s="3">
        <f t="shared" si="2"/>
        <v>113.82989308925437</v>
      </c>
      <c r="BT14" s="3" t="e">
        <f t="shared" si="2"/>
        <v>#DIV/0!</v>
      </c>
      <c r="BU14" s="3">
        <f t="shared" si="2"/>
        <v>20.354361291259298</v>
      </c>
      <c r="BV14" s="3">
        <f t="shared" si="2"/>
        <v>17.4948842323025</v>
      </c>
      <c r="BW14" s="3">
        <f t="shared" si="3"/>
        <v>2.7373270907163434</v>
      </c>
      <c r="BX14" s="3">
        <f t="shared" si="3"/>
        <v>28.38546367445878</v>
      </c>
      <c r="BY14" s="3">
        <f t="shared" si="3"/>
        <v>36.251406563383327</v>
      </c>
      <c r="BZ14" s="3" t="e">
        <f t="shared" si="3"/>
        <v>#DIV/0!</v>
      </c>
      <c r="CA14" s="3">
        <f t="shared" si="3"/>
        <v>45.477810666085382</v>
      </c>
      <c r="CB14" s="3">
        <f t="shared" si="3"/>
        <v>12.01100303326287</v>
      </c>
      <c r="CC14" s="3">
        <f t="shared" si="3"/>
        <v>50.201740700255087</v>
      </c>
      <c r="CD14" s="3">
        <f t="shared" si="3"/>
        <v>78.774912424593737</v>
      </c>
      <c r="CE14" s="3">
        <f t="shared" si="3"/>
        <v>27.408259583429526</v>
      </c>
      <c r="CF14" s="3">
        <f t="shared" si="3"/>
        <v>20.424313274417042</v>
      </c>
      <c r="CG14" s="3">
        <f t="shared" si="3"/>
        <v>52.208106013475465</v>
      </c>
      <c r="CH14" s="3">
        <f t="shared" si="3"/>
        <v>77.620744431515888</v>
      </c>
      <c r="CI14" s="3">
        <f t="shared" si="3"/>
        <v>24.046320480292859</v>
      </c>
      <c r="CJ14" s="3">
        <f t="shared" si="3"/>
        <v>52.289217243100389</v>
      </c>
      <c r="CK14" s="3">
        <f t="shared" si="3"/>
        <v>20.114629447350396</v>
      </c>
      <c r="CL14" s="3">
        <f t="shared" si="3"/>
        <v>13.390828484389331</v>
      </c>
      <c r="CM14" s="3">
        <f t="shared" si="3"/>
        <v>27.64824428359222</v>
      </c>
      <c r="CN14" s="3">
        <f t="shared" si="3"/>
        <v>56.122263269609249</v>
      </c>
      <c r="CO14" s="3">
        <f t="shared" si="3"/>
        <v>12.237270003761557</v>
      </c>
      <c r="CP14" s="3">
        <f t="shared" si="3"/>
        <v>38.725838949738524</v>
      </c>
      <c r="CQ14" s="3">
        <f t="shared" si="3"/>
        <v>76.375709757115004</v>
      </c>
      <c r="CR14" s="3">
        <f t="shared" si="3"/>
        <v>8.4866910273443761</v>
      </c>
      <c r="CS14" s="3">
        <f t="shared" si="3"/>
        <v>3.8970351817244406</v>
      </c>
      <c r="CT14" s="3">
        <f t="shared" si="3"/>
        <v>64.534773889465882</v>
      </c>
      <c r="CU14" s="3">
        <f t="shared" si="3"/>
        <v>18.087609164857465</v>
      </c>
      <c r="CV14" s="3">
        <f t="shared" si="3"/>
        <v>31.916186668433706</v>
      </c>
      <c r="CW14" s="3">
        <f t="shared" si="3"/>
        <v>17.81900431610628</v>
      </c>
      <c r="CX14" s="3">
        <f t="shared" si="3"/>
        <v>39.588002055294545</v>
      </c>
      <c r="CY14" s="3">
        <f t="shared" si="3"/>
        <v>55.54967821256156</v>
      </c>
      <c r="CZ14" s="3">
        <f t="shared" si="3"/>
        <v>22.624764242541033</v>
      </c>
      <c r="DA14" s="3">
        <f t="shared" si="3"/>
        <v>45.284089490327844</v>
      </c>
      <c r="DB14" s="3">
        <f t="shared" si="3"/>
        <v>13.894846111360611</v>
      </c>
      <c r="DC14" s="3" t="e">
        <f t="shared" si="3"/>
        <v>#DIV/0!</v>
      </c>
      <c r="DD14" s="3">
        <f t="shared" si="3"/>
        <v>27.078447240110656</v>
      </c>
      <c r="DE14" s="3">
        <f t="shared" si="3"/>
        <v>32.417902695900345</v>
      </c>
      <c r="DF14" s="3">
        <f t="shared" si="3"/>
        <v>64.865487170497644</v>
      </c>
      <c r="DG14" s="3">
        <f t="shared" si="3"/>
        <v>23.760377275823334</v>
      </c>
      <c r="DH14" s="3" t="e">
        <f t="shared" si="3"/>
        <v>#NUM!</v>
      </c>
      <c r="DI14" s="3">
        <f t="shared" si="3"/>
        <v>21.778010623035371</v>
      </c>
      <c r="DJ14" s="3">
        <f t="shared" si="3"/>
        <v>71.532173508132502</v>
      </c>
      <c r="DK14" s="3">
        <f t="shared" si="3"/>
        <v>53.007985598813221</v>
      </c>
      <c r="DL14" s="3">
        <f t="shared" si="3"/>
        <v>14.730811732481436</v>
      </c>
      <c r="DM14" s="3">
        <f t="shared" si="3"/>
        <v>7.8175288911897907</v>
      </c>
      <c r="DN14" s="3">
        <f t="shared" si="3"/>
        <v>63.989465229236885</v>
      </c>
      <c r="DO14" s="3">
        <f t="shared" si="3"/>
        <v>3.9018870358014897</v>
      </c>
      <c r="DP14" s="3">
        <f t="shared" si="3"/>
        <v>98.487694320527623</v>
      </c>
      <c r="DQ14" s="3">
        <f t="shared" si="3"/>
        <v>41.910769230785995</v>
      </c>
      <c r="DR14" s="3">
        <f t="shared" si="3"/>
        <v>71.386711856316268</v>
      </c>
      <c r="DS14" s="3">
        <f t="shared" si="3"/>
        <v>26.948703716064319</v>
      </c>
      <c r="DT14" s="3">
        <f t="shared" si="3"/>
        <v>41.200071325999495</v>
      </c>
      <c r="DU14" s="3">
        <f t="shared" si="3"/>
        <v>9.1125000000000007</v>
      </c>
      <c r="DV14" s="3">
        <f t="shared" si="3"/>
        <v>8.3072518410952156</v>
      </c>
      <c r="DW14" s="3" t="e">
        <f t="shared" si="3"/>
        <v>#NUM!</v>
      </c>
      <c r="DX14" s="3"/>
      <c r="DZ14">
        <f t="shared" si="0"/>
        <v>164.47619047619042</v>
      </c>
      <c r="EA14" t="str" cm="1">
        <f t="array" ref="EA14">INDEX($J$1:$DW$1,0,MATCH(DZ14,J14:JDW14,0))</f>
        <v>Honduras</v>
      </c>
      <c r="ED14">
        <f t="shared" si="1"/>
        <v>2.7373270907163434</v>
      </c>
      <c r="EE14" t="str" cm="1">
        <f t="array" ref="EE14">INDEX($J$1:$DW$1,0,MATCH(ED14,J14:JDW14,0))</f>
        <v>Mongolia</v>
      </c>
    </row>
    <row r="15" spans="1:135" x14ac:dyDescent="0.2">
      <c r="A15">
        <v>48655992</v>
      </c>
      <c r="B15">
        <v>2012</v>
      </c>
      <c r="C15">
        <v>28.842307692307699</v>
      </c>
      <c r="D15" t="s">
        <v>707</v>
      </c>
      <c r="E15" t="s">
        <v>436</v>
      </c>
      <c r="F15" t="s">
        <v>19</v>
      </c>
      <c r="I15" s="2">
        <v>2023</v>
      </c>
      <c r="J15" s="3">
        <f t="shared" si="4"/>
        <v>16.333984240953829</v>
      </c>
      <c r="K15" s="3">
        <f t="shared" si="2"/>
        <v>33.630381668219044</v>
      </c>
      <c r="L15" s="3">
        <f t="shared" si="2"/>
        <v>38.456621278004015</v>
      </c>
      <c r="M15" s="3">
        <f t="shared" si="2"/>
        <v>15.159330113623279</v>
      </c>
      <c r="N15" s="3">
        <f t="shared" si="2"/>
        <v>50.094863969022882</v>
      </c>
      <c r="O15" s="3">
        <f t="shared" si="2"/>
        <v>39.56754756120376</v>
      </c>
      <c r="P15" s="3">
        <f t="shared" si="2"/>
        <v>21.002395116776228</v>
      </c>
      <c r="Q15" s="3">
        <f t="shared" si="2"/>
        <v>60.330986984722472</v>
      </c>
      <c r="R15" s="3">
        <f t="shared" si="2"/>
        <v>24.517492732641351</v>
      </c>
      <c r="S15" s="3">
        <f t="shared" si="2"/>
        <v>9.2005294771474908</v>
      </c>
      <c r="T15" s="3">
        <f t="shared" si="2"/>
        <v>50.197543146589496</v>
      </c>
      <c r="U15" s="3">
        <f t="shared" si="2"/>
        <v>58.425608602385928</v>
      </c>
      <c r="V15" s="3">
        <f t="shared" si="2"/>
        <v>22.731417216498684</v>
      </c>
      <c r="W15" s="3">
        <f t="shared" si="2"/>
        <v>86.362504477431088</v>
      </c>
      <c r="X15" s="3">
        <f t="shared" si="2"/>
        <v>18.623816450543178</v>
      </c>
      <c r="Y15" s="3" t="e">
        <f t="shared" si="2"/>
        <v>#NUM!</v>
      </c>
      <c r="Z15" s="3">
        <f t="shared" si="2"/>
        <v>11.31337400167059</v>
      </c>
      <c r="AA15" s="3">
        <f t="shared" si="2"/>
        <v>1.6910746803718384</v>
      </c>
      <c r="AB15" s="3">
        <f t="shared" si="5"/>
        <v>61.28063412535132</v>
      </c>
      <c r="AC15" s="3">
        <f t="shared" si="2"/>
        <v>32.238845596786561</v>
      </c>
      <c r="AD15" s="3">
        <f t="shared" si="2"/>
        <v>27.191308735115062</v>
      </c>
      <c r="AE15" s="3">
        <f t="shared" si="2"/>
        <v>66.019096959643193</v>
      </c>
      <c r="AF15" s="3">
        <f t="shared" si="2"/>
        <v>28.309545986572385</v>
      </c>
      <c r="AG15" s="3">
        <f t="shared" si="2"/>
        <v>45.596570391018368</v>
      </c>
      <c r="AH15" s="3">
        <f t="shared" si="2"/>
        <v>17.206013730125221</v>
      </c>
      <c r="AI15" s="3">
        <f t="shared" si="2"/>
        <v>38.921730197095805</v>
      </c>
      <c r="AJ15" s="3">
        <f t="shared" si="2"/>
        <v>33.847317083900073</v>
      </c>
      <c r="AK15" s="3">
        <f t="shared" si="2"/>
        <v>4.7474231110147214</v>
      </c>
      <c r="AL15" s="3">
        <f t="shared" si="2"/>
        <v>48.813726765751419</v>
      </c>
      <c r="AM15" s="3">
        <f t="shared" si="2"/>
        <v>25.52162039686457</v>
      </c>
      <c r="AN15" s="3" t="e">
        <f t="shared" si="2"/>
        <v>#DIV/0!</v>
      </c>
      <c r="AO15" s="3">
        <f t="shared" si="2"/>
        <v>21.378752724031141</v>
      </c>
      <c r="AP15" s="3">
        <f t="shared" si="2"/>
        <v>25.18583348358532</v>
      </c>
      <c r="AQ15" s="3">
        <f t="shared" si="2"/>
        <v>14.592278130731648</v>
      </c>
      <c r="AR15" s="3">
        <f t="shared" si="2"/>
        <v>35.893157519591547</v>
      </c>
      <c r="AS15" s="3" t="e">
        <f t="shared" si="2"/>
        <v>#NUM!</v>
      </c>
      <c r="AT15" s="3">
        <f t="shared" si="2"/>
        <v>33.471670178555513</v>
      </c>
      <c r="AU15" s="3">
        <f t="shared" si="2"/>
        <v>98.43375404179713</v>
      </c>
      <c r="AV15" s="3">
        <f t="shared" si="2"/>
        <v>196.2063492063491</v>
      </c>
      <c r="AW15" s="3">
        <f t="shared" si="2"/>
        <v>7.479791086663325</v>
      </c>
      <c r="AX15" s="3">
        <f t="shared" si="2"/>
        <v>75.551439417567096</v>
      </c>
      <c r="AY15" s="3">
        <f t="shared" si="2"/>
        <v>9.1432433671913174</v>
      </c>
      <c r="AZ15" s="3">
        <f t="shared" si="2"/>
        <v>29.786233821203467</v>
      </c>
      <c r="BA15" s="3">
        <f t="shared" si="2"/>
        <v>35.300273628322316</v>
      </c>
      <c r="BB15" s="3">
        <f t="shared" si="2"/>
        <v>28.698406739993931</v>
      </c>
      <c r="BC15" s="3">
        <f t="shared" si="2"/>
        <v>62.73327304645283</v>
      </c>
      <c r="BD15" s="3">
        <f t="shared" si="2"/>
        <v>21.038859556953341</v>
      </c>
      <c r="BE15" s="3">
        <f t="shared" si="2"/>
        <v>30.837734579027</v>
      </c>
      <c r="BF15" s="3" t="e">
        <f t="shared" si="2"/>
        <v>#NUM!</v>
      </c>
      <c r="BG15" s="3">
        <f t="shared" si="2"/>
        <v>45.179243298644558</v>
      </c>
      <c r="BH15" s="3">
        <f t="shared" si="2"/>
        <v>42.04317956267937</v>
      </c>
      <c r="BI15" s="3">
        <f t="shared" si="2"/>
        <v>3.0842973087998011</v>
      </c>
      <c r="BJ15" s="3">
        <f t="shared" si="2"/>
        <v>68.479028180703224</v>
      </c>
      <c r="BK15" s="3">
        <f t="shared" si="2"/>
        <v>3.4729701536034145</v>
      </c>
      <c r="BL15" s="3">
        <f t="shared" si="2"/>
        <v>19.254797191665222</v>
      </c>
      <c r="BM15" s="3">
        <f t="shared" si="2"/>
        <v>16.995653194788229</v>
      </c>
      <c r="BN15" s="3">
        <f t="shared" si="2"/>
        <v>49.817011471539118</v>
      </c>
      <c r="BO15" s="3" t="e">
        <f t="shared" si="2"/>
        <v>#NUM!</v>
      </c>
      <c r="BP15" s="3">
        <f t="shared" si="2"/>
        <v>9.3423510980872742</v>
      </c>
      <c r="BQ15" s="3">
        <f t="shared" si="2"/>
        <v>62.0412665207445</v>
      </c>
      <c r="BR15" s="3">
        <f t="shared" si="2"/>
        <v>25.285443926585057</v>
      </c>
      <c r="BS15" s="3">
        <f t="shared" si="2"/>
        <v>118.62047457853822</v>
      </c>
      <c r="BT15" s="3" t="e">
        <f t="shared" si="2"/>
        <v>#DIV/0!</v>
      </c>
      <c r="BU15" s="3">
        <f t="shared" si="2"/>
        <v>15.312783585845359</v>
      </c>
      <c r="BV15" s="3">
        <f t="shared" si="2"/>
        <v>15.323505655086725</v>
      </c>
      <c r="BW15" s="3">
        <f t="shared" si="3"/>
        <v>2.7373270907163434</v>
      </c>
      <c r="BX15" s="3">
        <f t="shared" si="3"/>
        <v>28.849049588721083</v>
      </c>
      <c r="BY15" s="3">
        <f t="shared" si="3"/>
        <v>37.914873404955451</v>
      </c>
      <c r="BZ15" s="3" t="e">
        <f t="shared" si="3"/>
        <v>#DIV/0!</v>
      </c>
      <c r="CA15" s="3">
        <f t="shared" si="3"/>
        <v>44.637107138931022</v>
      </c>
      <c r="CB15" s="3">
        <f t="shared" si="3"/>
        <v>10.544458023038798</v>
      </c>
      <c r="CC15" s="3">
        <f t="shared" si="3"/>
        <v>50.018951374401098</v>
      </c>
      <c r="CD15" s="3">
        <f t="shared" si="3"/>
        <v>84.183782077283269</v>
      </c>
      <c r="CE15" s="3">
        <f t="shared" si="3"/>
        <v>20.980366352477834</v>
      </c>
      <c r="CF15" s="3">
        <f t="shared" si="3"/>
        <v>21.261102193814668</v>
      </c>
      <c r="CG15" s="3">
        <f t="shared" si="3"/>
        <v>52.422476934323349</v>
      </c>
      <c r="CH15" s="3">
        <f t="shared" si="3"/>
        <v>79.140663829747922</v>
      </c>
      <c r="CI15" s="3">
        <f t="shared" si="3"/>
        <v>24.100708537762049</v>
      </c>
      <c r="CJ15" s="3">
        <f t="shared" si="3"/>
        <v>53.862910505948527</v>
      </c>
      <c r="CK15" s="3">
        <f t="shared" si="3"/>
        <v>15.436425957196125</v>
      </c>
      <c r="CL15" s="3">
        <f t="shared" si="3"/>
        <v>12.607454820528242</v>
      </c>
      <c r="CM15" s="3">
        <f t="shared" si="3"/>
        <v>24.804617834673568</v>
      </c>
      <c r="CN15" s="3">
        <f t="shared" si="3"/>
        <v>57.2890566757155</v>
      </c>
      <c r="CO15" s="3">
        <f t="shared" si="3"/>
        <v>11.592272730095592</v>
      </c>
      <c r="CP15" s="3">
        <f t="shared" si="3"/>
        <v>40.027235621448149</v>
      </c>
      <c r="CQ15" s="3">
        <f t="shared" si="3"/>
        <v>75.456189941078392</v>
      </c>
      <c r="CR15" s="3">
        <f t="shared" si="3"/>
        <v>8.4009629085673989</v>
      </c>
      <c r="CS15" s="3">
        <f t="shared" si="3"/>
        <v>2.9896836012991961</v>
      </c>
      <c r="CT15" s="3">
        <f t="shared" si="3"/>
        <v>64.517348574444142</v>
      </c>
      <c r="CU15" s="3">
        <f t="shared" si="3"/>
        <v>17.986100874116143</v>
      </c>
      <c r="CV15" s="3">
        <f t="shared" si="3"/>
        <v>31.949754451448261</v>
      </c>
      <c r="CW15" s="3">
        <f t="shared" si="3"/>
        <v>17.759637911495396</v>
      </c>
      <c r="CX15" s="3">
        <f t="shared" si="3"/>
        <v>40.379590260597915</v>
      </c>
      <c r="CY15" s="3">
        <f t="shared" si="3"/>
        <v>54.197977862077536</v>
      </c>
      <c r="CZ15" s="3">
        <f t="shared" si="3"/>
        <v>22.648606294370104</v>
      </c>
      <c r="DA15" s="3">
        <f t="shared" si="3"/>
        <v>45.627344089848137</v>
      </c>
      <c r="DB15" s="3">
        <f t="shared" si="3"/>
        <v>13.221859940709823</v>
      </c>
      <c r="DC15" s="3" t="e">
        <f t="shared" si="3"/>
        <v>#DIV/0!</v>
      </c>
      <c r="DD15" s="3">
        <f t="shared" si="3"/>
        <v>25.767872153458988</v>
      </c>
      <c r="DE15" s="3">
        <f t="shared" si="3"/>
        <v>32.670601942647494</v>
      </c>
      <c r="DF15" s="3">
        <f t="shared" si="3"/>
        <v>67.283383556634973</v>
      </c>
      <c r="DG15" s="3">
        <f t="shared" si="3"/>
        <v>23.698479124389813</v>
      </c>
      <c r="DH15" s="3" t="e">
        <f t="shared" si="3"/>
        <v>#NUM!</v>
      </c>
      <c r="DI15" s="3">
        <f t="shared" si="3"/>
        <v>21.973806979701386</v>
      </c>
      <c r="DJ15" s="3">
        <f t="shared" si="3"/>
        <v>76.396462657780987</v>
      </c>
      <c r="DK15" s="3">
        <f t="shared" si="3"/>
        <v>54.68429714542598</v>
      </c>
      <c r="DL15" s="3">
        <f t="shared" si="3"/>
        <v>13.706548943390159</v>
      </c>
      <c r="DM15" s="3">
        <f t="shared" si="3"/>
        <v>5.7160949364335556</v>
      </c>
      <c r="DN15" s="3">
        <f t="shared" si="3"/>
        <v>60.974964373034929</v>
      </c>
      <c r="DO15" s="3">
        <f t="shared" si="3"/>
        <v>3.2370472978865741</v>
      </c>
      <c r="DP15" s="3">
        <f t="shared" si="3"/>
        <v>99.907443179063748</v>
      </c>
      <c r="DQ15" s="3">
        <f t="shared" si="3"/>
        <v>43.310288455090799</v>
      </c>
      <c r="DR15" s="3">
        <f t="shared" si="3"/>
        <v>74.002546434100083</v>
      </c>
      <c r="DS15" s="3">
        <f t="shared" si="3"/>
        <v>25.13544397899414</v>
      </c>
      <c r="DT15" s="3">
        <f t="shared" si="3"/>
        <v>42.588499317037765</v>
      </c>
      <c r="DU15" s="3">
        <f t="shared" si="3"/>
        <v>9.1125000000000007</v>
      </c>
      <c r="DV15" s="3">
        <f t="shared" si="3"/>
        <v>7.2877669063680175</v>
      </c>
      <c r="DW15" s="3" t="e">
        <f t="shared" si="3"/>
        <v>#NUM!</v>
      </c>
      <c r="DX15" s="3"/>
      <c r="DZ15">
        <f t="shared" si="0"/>
        <v>196.2063492063491</v>
      </c>
      <c r="EA15" t="str" cm="1">
        <f t="array" ref="EA15">INDEX($J$1:$DW$1,0,MATCH(DZ15,J15:JDW15,0))</f>
        <v>Honduras</v>
      </c>
      <c r="ED15">
        <f t="shared" si="1"/>
        <v>1.6910746803718384</v>
      </c>
      <c r="EE15" t="str" cm="1">
        <f t="array" ref="EE15">INDEX($J$1:$DW$1,0,MATCH(ED15,J15:JDW15,0))</f>
        <v>Cambodia</v>
      </c>
    </row>
    <row r="16" spans="1:135" x14ac:dyDescent="0.2">
      <c r="A16">
        <v>93339430</v>
      </c>
      <c r="B16">
        <v>2016</v>
      </c>
      <c r="C16">
        <v>88.498837690212397</v>
      </c>
      <c r="D16" t="s">
        <v>194</v>
      </c>
      <c r="E16" t="s">
        <v>195</v>
      </c>
      <c r="F16" t="s">
        <v>86</v>
      </c>
      <c r="I16" s="2">
        <v>2024</v>
      </c>
      <c r="J16" s="3">
        <f t="shared" si="4"/>
        <v>14.756464677397023</v>
      </c>
      <c r="K16" s="3">
        <f t="shared" si="2"/>
        <v>33.566048428855538</v>
      </c>
      <c r="L16" s="3">
        <f t="shared" si="2"/>
        <v>38.732317796927759</v>
      </c>
      <c r="M16" s="3">
        <f t="shared" si="2"/>
        <v>14.424143269770708</v>
      </c>
      <c r="N16" s="3">
        <f t="shared" si="2"/>
        <v>49.820399505110245</v>
      </c>
      <c r="O16" s="3">
        <f t="shared" si="2"/>
        <v>40.061274848347935</v>
      </c>
      <c r="P16" s="3">
        <f t="shared" si="2"/>
        <v>21.89532282166056</v>
      </c>
      <c r="Q16" s="3">
        <f t="shared" si="2"/>
        <v>60.267880081765995</v>
      </c>
      <c r="R16" s="3">
        <f t="shared" si="2"/>
        <v>23.231992031926723</v>
      </c>
      <c r="S16" s="3">
        <f t="shared" si="2"/>
        <v>8.299332460553412</v>
      </c>
      <c r="T16" s="3">
        <f t="shared" si="2"/>
        <v>50.14450327570043</v>
      </c>
      <c r="U16" s="3">
        <f t="shared" si="2"/>
        <v>61.500806030444863</v>
      </c>
      <c r="V16" s="3">
        <f t="shared" si="2"/>
        <v>22.831141949018953</v>
      </c>
      <c r="W16" s="3">
        <f t="shared" si="2"/>
        <v>92.077286539165286</v>
      </c>
      <c r="X16" s="3">
        <f t="shared" si="2"/>
        <v>16.736724086619414</v>
      </c>
      <c r="Y16" s="3" t="e">
        <f t="shared" si="2"/>
        <v>#NUM!</v>
      </c>
      <c r="Z16" s="3">
        <f t="shared" si="2"/>
        <v>11.311916299960515</v>
      </c>
      <c r="AA16" s="3">
        <f t="shared" si="2"/>
        <v>8.5762599832009592</v>
      </c>
      <c r="AB16" s="3">
        <f t="shared" si="5"/>
        <v>60.339564010384819</v>
      </c>
      <c r="AC16" s="3">
        <f t="shared" si="2"/>
        <v>31.485548064369365</v>
      </c>
      <c r="AD16" s="3">
        <f t="shared" si="2"/>
        <v>26.700039164663064</v>
      </c>
      <c r="AE16" s="3">
        <f t="shared" si="2"/>
        <v>67.561894859905536</v>
      </c>
      <c r="AF16" s="3">
        <f t="shared" si="2"/>
        <v>28.589289766947871</v>
      </c>
      <c r="AG16" s="3">
        <f t="shared" si="2"/>
        <v>45.17253780791907</v>
      </c>
      <c r="AH16" s="3">
        <f t="shared" si="2"/>
        <v>16.600888064014143</v>
      </c>
      <c r="AI16" s="3">
        <f t="shared" si="2"/>
        <v>35.833940248347844</v>
      </c>
      <c r="AJ16" s="3">
        <f t="shared" si="2"/>
        <v>32.754253723798747</v>
      </c>
      <c r="AK16" s="3">
        <f t="shared" si="2"/>
        <v>0.89317135933382641</v>
      </c>
      <c r="AL16" s="3">
        <f t="shared" si="2"/>
        <v>44.056168450980657</v>
      </c>
      <c r="AM16" s="3">
        <f t="shared" si="2"/>
        <v>26.003834539004657</v>
      </c>
      <c r="AN16" s="3" t="e">
        <f t="shared" si="2"/>
        <v>#DIV/0!</v>
      </c>
      <c r="AO16" s="3">
        <f t="shared" si="2"/>
        <v>20.895919297068712</v>
      </c>
      <c r="AP16" s="3">
        <f t="shared" si="2"/>
        <v>24.062020456889186</v>
      </c>
      <c r="AQ16" s="3">
        <f t="shared" si="2"/>
        <v>14.456978081711526</v>
      </c>
      <c r="AR16" s="3">
        <f t="shared" si="2"/>
        <v>36.328969851692491</v>
      </c>
      <c r="AS16" s="3" t="e">
        <f t="shared" si="2"/>
        <v>#NUM!</v>
      </c>
      <c r="AT16" s="3">
        <f t="shared" si="2"/>
        <v>34.289598787871917</v>
      </c>
      <c r="AU16" s="3">
        <f t="shared" si="2"/>
        <v>104.12882881634172</v>
      </c>
      <c r="AV16" s="3">
        <f t="shared" si="2"/>
        <v>227.93650793650781</v>
      </c>
      <c r="AW16" s="3">
        <f t="shared" si="2"/>
        <v>6.0588981627815537</v>
      </c>
      <c r="AX16" s="3">
        <f t="shared" si="2"/>
        <v>78.307361139628924</v>
      </c>
      <c r="AY16" s="3">
        <f t="shared" si="2"/>
        <v>8.6586863972015546</v>
      </c>
      <c r="AZ16" s="3">
        <f t="shared" si="2"/>
        <v>29.342485639070748</v>
      </c>
      <c r="BA16" s="3">
        <f t="shared" si="2"/>
        <v>35.060290873025423</v>
      </c>
      <c r="BB16" s="3">
        <f t="shared" si="2"/>
        <v>25.803373964819329</v>
      </c>
      <c r="BC16" s="3">
        <f t="shared" si="2"/>
        <v>64.634793101077619</v>
      </c>
      <c r="BD16" s="3">
        <f t="shared" si="2"/>
        <v>20.163012313601591</v>
      </c>
      <c r="BE16" s="3">
        <f t="shared" si="2"/>
        <v>30.597200613751284</v>
      </c>
      <c r="BF16" s="3" t="e">
        <f t="shared" si="2"/>
        <v>#NUM!</v>
      </c>
      <c r="BG16" s="3">
        <f t="shared" si="2"/>
        <v>46.071433831947864</v>
      </c>
      <c r="BH16" s="3">
        <f t="shared" si="2"/>
        <v>41.186120494776794</v>
      </c>
      <c r="BI16" s="3">
        <f t="shared" si="2"/>
        <v>0.42230101839767092</v>
      </c>
      <c r="BJ16" s="3">
        <f t="shared" si="2"/>
        <v>70.546890366870571</v>
      </c>
      <c r="BK16" s="3">
        <f t="shared" si="2"/>
        <v>3.4729701536034145</v>
      </c>
      <c r="BL16" s="3">
        <f t="shared" si="2"/>
        <v>19.876147662275471</v>
      </c>
      <c r="BM16" s="3">
        <f t="shared" si="2"/>
        <v>16.824040511282846</v>
      </c>
      <c r="BN16" s="3">
        <f t="shared" si="2"/>
        <v>49.297257228044977</v>
      </c>
      <c r="BO16" s="3" t="e">
        <f t="shared" si="2"/>
        <v>#NUM!</v>
      </c>
      <c r="BP16" s="3">
        <f t="shared" si="2"/>
        <v>8.8877097356233588</v>
      </c>
      <c r="BQ16" s="3">
        <f t="shared" si="2"/>
        <v>62.843014963105048</v>
      </c>
      <c r="BR16" s="3">
        <f t="shared" si="2"/>
        <v>24.33584983591161</v>
      </c>
      <c r="BS16" s="3">
        <f t="shared" si="2"/>
        <v>123.41105606782207</v>
      </c>
      <c r="BT16" s="3" t="e">
        <f t="shared" si="2"/>
        <v>#DIV/0!</v>
      </c>
      <c r="BU16" s="3">
        <f t="shared" si="2"/>
        <v>10.271205880431417</v>
      </c>
      <c r="BV16" s="3">
        <f t="shared" ref="BV16:BV17" si="6">IF(_xlfn.FORECAST.ETS($I16,BV$2:BV$12,_xlfn.ANCHORARRAY($I$2),1,1)&gt;0,_xlfn.FORECAST.ETS($I16,BV$2:BV$12,_xlfn.ANCHORARRAY($I$2),1,1),BV15)</f>
        <v>13.152127077870945</v>
      </c>
      <c r="BW16" s="3">
        <f t="shared" si="3"/>
        <v>2.7373270907163434</v>
      </c>
      <c r="BX16" s="3">
        <f t="shared" si="3"/>
        <v>29.312635502983387</v>
      </c>
      <c r="BY16" s="3">
        <f t="shared" si="3"/>
        <v>39.578340246527574</v>
      </c>
      <c r="BZ16" s="3" t="e">
        <f t="shared" si="3"/>
        <v>#DIV/0!</v>
      </c>
      <c r="CA16" s="3">
        <f t="shared" si="3"/>
        <v>43.796403611776661</v>
      </c>
      <c r="CB16" s="3">
        <f t="shared" si="3"/>
        <v>9.0779130128147063</v>
      </c>
      <c r="CC16" s="3">
        <f t="shared" si="3"/>
        <v>49.836162048547088</v>
      </c>
      <c r="CD16" s="3">
        <f t="shared" si="3"/>
        <v>89.5926517299728</v>
      </c>
      <c r="CE16" s="3">
        <f t="shared" si="3"/>
        <v>14.552473121526145</v>
      </c>
      <c r="CF16" s="3">
        <f t="shared" si="3"/>
        <v>22.097891113212292</v>
      </c>
      <c r="CG16" s="3">
        <f t="shared" si="3"/>
        <v>52.636847855171233</v>
      </c>
      <c r="CH16" s="3">
        <f t="shared" si="3"/>
        <v>80.660583227979956</v>
      </c>
      <c r="CI16" s="3">
        <f t="shared" si="3"/>
        <v>24.155096595231242</v>
      </c>
      <c r="CJ16" s="3">
        <f t="shared" si="3"/>
        <v>55.436603768796665</v>
      </c>
      <c r="CK16" s="3">
        <f t="shared" si="3"/>
        <v>10.758222467041854</v>
      </c>
      <c r="CL16" s="3">
        <f t="shared" si="3"/>
        <v>11.824081156667157</v>
      </c>
      <c r="CM16" s="3">
        <f t="shared" si="3"/>
        <v>21.960991385754919</v>
      </c>
      <c r="CN16" s="3">
        <f t="shared" si="3"/>
        <v>58.455850081821779</v>
      </c>
      <c r="CO16" s="3">
        <f t="shared" si="3"/>
        <v>10.947275456429626</v>
      </c>
      <c r="CP16" s="3">
        <f t="shared" si="3"/>
        <v>41.328632293157774</v>
      </c>
      <c r="CQ16" s="3">
        <f t="shared" si="3"/>
        <v>74.53667012504178</v>
      </c>
      <c r="CR16" s="3">
        <f t="shared" si="3"/>
        <v>8.3152347897904235</v>
      </c>
      <c r="CS16" s="3">
        <f t="shared" si="3"/>
        <v>2.0823320208739515</v>
      </c>
      <c r="CT16" s="3">
        <f t="shared" si="3"/>
        <v>64.499923259422388</v>
      </c>
      <c r="CU16" s="3">
        <f t="shared" si="3"/>
        <v>17.884592583374818</v>
      </c>
      <c r="CV16" s="3">
        <f t="shared" si="3"/>
        <v>31.983322234462811</v>
      </c>
      <c r="CW16" s="3">
        <f t="shared" si="3"/>
        <v>17.700271506884512</v>
      </c>
      <c r="CX16" s="3">
        <f t="shared" si="3"/>
        <v>41.171178465901285</v>
      </c>
      <c r="CY16" s="3">
        <f t="shared" si="3"/>
        <v>52.846277511593506</v>
      </c>
      <c r="CZ16" s="3">
        <f t="shared" si="3"/>
        <v>22.672448346199172</v>
      </c>
      <c r="DA16" s="3">
        <f t="shared" si="3"/>
        <v>45.970598689368437</v>
      </c>
      <c r="DB16" s="3">
        <f t="shared" si="3"/>
        <v>12.54887377005902</v>
      </c>
      <c r="DC16" s="3" t="e">
        <f t="shared" si="3"/>
        <v>#DIV/0!</v>
      </c>
      <c r="DD16" s="3">
        <f t="shared" si="3"/>
        <v>24.457297066807321</v>
      </c>
      <c r="DE16" s="3">
        <f t="shared" si="3"/>
        <v>32.923301189394643</v>
      </c>
      <c r="DF16" s="3">
        <f t="shared" si="3"/>
        <v>60.390446202589715</v>
      </c>
      <c r="DG16" s="3">
        <f t="shared" si="3"/>
        <v>23.636580972956295</v>
      </c>
      <c r="DH16" s="3" t="e">
        <f t="shared" si="3"/>
        <v>#NUM!</v>
      </c>
      <c r="DI16" s="3">
        <f t="shared" si="3"/>
        <v>22.169603336367402</v>
      </c>
      <c r="DJ16" s="3">
        <f t="shared" si="3"/>
        <v>81.260751807429457</v>
      </c>
      <c r="DK16" s="3">
        <f t="shared" si="3"/>
        <v>56.360608692038738</v>
      </c>
      <c r="DL16" s="3">
        <f t="shared" si="3"/>
        <v>12.682286154298879</v>
      </c>
      <c r="DM16" s="3">
        <f t="shared" si="3"/>
        <v>3.6146609816773236</v>
      </c>
      <c r="DN16" s="3">
        <f t="shared" si="3"/>
        <v>57.960463516832974</v>
      </c>
      <c r="DO16" s="3">
        <f t="shared" si="3"/>
        <v>2.5722075599716607</v>
      </c>
      <c r="DP16" s="3">
        <f t="shared" si="3"/>
        <v>101.32719203759989</v>
      </c>
      <c r="DQ16" s="3">
        <f t="shared" si="3"/>
        <v>44.709807679395595</v>
      </c>
      <c r="DR16" s="3">
        <f t="shared" si="3"/>
        <v>76.618381011883898</v>
      </c>
      <c r="DS16" s="3">
        <f t="shared" si="3"/>
        <v>23.322184241923942</v>
      </c>
      <c r="DT16" s="3">
        <f t="shared" si="3"/>
        <v>43.976927308076014</v>
      </c>
      <c r="DU16" s="3">
        <f t="shared" si="3"/>
        <v>9.1125000000000007</v>
      </c>
      <c r="DV16" s="3">
        <f t="shared" si="3"/>
        <v>6.2682819716408194</v>
      </c>
      <c r="DW16" s="3" t="e">
        <f t="shared" si="3"/>
        <v>#NUM!</v>
      </c>
      <c r="DX16" s="3"/>
      <c r="DZ16">
        <f t="shared" si="0"/>
        <v>227.93650793650781</v>
      </c>
      <c r="EA16" t="str" cm="1">
        <f t="array" ref="EA16">INDEX($J$1:$DW$1,0,MATCH(DZ16,J16:JDW16,0))</f>
        <v>Honduras</v>
      </c>
      <c r="ED16">
        <f t="shared" si="1"/>
        <v>0.42230101839767092</v>
      </c>
      <c r="EE16" t="str" cm="1">
        <f t="array" ref="EE16">INDEX($J$1:$DW$1,0,MATCH(ED16,J16:JDW16,0))</f>
        <v>Kazakhstan</v>
      </c>
    </row>
    <row r="17" spans="1:135" x14ac:dyDescent="0.2">
      <c r="A17">
        <v>93339430</v>
      </c>
      <c r="B17">
        <v>2015</v>
      </c>
      <c r="C17">
        <v>86.675197154084202</v>
      </c>
      <c r="D17" t="s">
        <v>194</v>
      </c>
      <c r="E17" t="s">
        <v>195</v>
      </c>
      <c r="F17" t="s">
        <v>86</v>
      </c>
      <c r="I17" s="2">
        <v>2025</v>
      </c>
      <c r="J17" s="3">
        <f t="shared" si="4"/>
        <v>13.178945113840218</v>
      </c>
      <c r="K17" s="3">
        <f t="shared" si="4"/>
        <v>33.501715189492025</v>
      </c>
      <c r="L17" s="3">
        <f t="shared" si="4"/>
        <v>39.008014315851497</v>
      </c>
      <c r="M17" s="3">
        <f t="shared" si="4"/>
        <v>13.68895642591813</v>
      </c>
      <c r="N17" s="3">
        <f t="shared" si="4"/>
        <v>49.545935041197602</v>
      </c>
      <c r="O17" s="3">
        <f t="shared" si="4"/>
        <v>40.555002135492117</v>
      </c>
      <c r="P17" s="3">
        <f t="shared" si="4"/>
        <v>22.788250526544893</v>
      </c>
      <c r="Q17" s="3">
        <f t="shared" si="4"/>
        <v>60.204773178809518</v>
      </c>
      <c r="R17" s="3">
        <f t="shared" si="4"/>
        <v>21.94649133121208</v>
      </c>
      <c r="S17" s="3">
        <f t="shared" si="4"/>
        <v>7.3981354439593341</v>
      </c>
      <c r="T17" s="3">
        <f t="shared" si="4"/>
        <v>50.091463404811364</v>
      </c>
      <c r="U17" s="3">
        <f t="shared" si="4"/>
        <v>64.576003458503791</v>
      </c>
      <c r="V17" s="3">
        <f t="shared" si="4"/>
        <v>22.930866681539221</v>
      </c>
      <c r="W17" s="3">
        <f t="shared" si="4"/>
        <v>97.792068600899483</v>
      </c>
      <c r="X17" s="3">
        <f t="shared" si="4"/>
        <v>14.849631722695669</v>
      </c>
      <c r="Y17" s="3" t="e">
        <f t="shared" si="4"/>
        <v>#NUM!</v>
      </c>
      <c r="Z17" s="3">
        <f t="shared" ref="Z17:BU17" si="7">IF(_xlfn.FORECAST.ETS($I17,Z$2:Z$12,_xlfn.ANCHORARRAY($I$2),1,1)&gt;0,_xlfn.FORECAST.ETS($I17,Z$2:Z$12,_xlfn.ANCHORARRAY($I$2),1,1),Z16)</f>
        <v>11.310458598250442</v>
      </c>
      <c r="AA17" s="3">
        <f t="shared" si="7"/>
        <v>8.5762599832009592</v>
      </c>
      <c r="AB17" s="3">
        <f t="shared" si="5"/>
        <v>62.159002587279232</v>
      </c>
      <c r="AC17" s="3">
        <f t="shared" si="7"/>
        <v>29.604596494098939</v>
      </c>
      <c r="AD17" s="3">
        <f t="shared" si="7"/>
        <v>26.208769594211066</v>
      </c>
      <c r="AE17" s="3">
        <f t="shared" si="7"/>
        <v>69.104692760167879</v>
      </c>
      <c r="AF17" s="3">
        <f t="shared" si="7"/>
        <v>28.869033547323362</v>
      </c>
      <c r="AG17" s="3">
        <f t="shared" si="7"/>
        <v>44.74850522481978</v>
      </c>
      <c r="AH17" s="3">
        <f t="shared" si="7"/>
        <v>15.995762397903064</v>
      </c>
      <c r="AI17" s="3">
        <f t="shared" si="7"/>
        <v>32.74615029959989</v>
      </c>
      <c r="AJ17" s="3">
        <f t="shared" si="7"/>
        <v>31.661190363697418</v>
      </c>
      <c r="AK17" s="3">
        <f t="shared" si="7"/>
        <v>0.89317135933382641</v>
      </c>
      <c r="AL17" s="3">
        <f t="shared" si="7"/>
        <v>47.973097820183192</v>
      </c>
      <c r="AM17" s="3">
        <f t="shared" si="7"/>
        <v>26.486048681144744</v>
      </c>
      <c r="AN17" s="3" t="e">
        <f t="shared" si="7"/>
        <v>#DIV/0!</v>
      </c>
      <c r="AO17" s="3">
        <f t="shared" si="7"/>
        <v>20.413085870106286</v>
      </c>
      <c r="AP17" s="3">
        <f t="shared" si="7"/>
        <v>22.938207430193057</v>
      </c>
      <c r="AQ17" s="3">
        <f t="shared" si="7"/>
        <v>14.321678032691402</v>
      </c>
      <c r="AR17" s="3">
        <f t="shared" si="7"/>
        <v>36.764782183793436</v>
      </c>
      <c r="AS17" s="3" t="e">
        <f t="shared" si="7"/>
        <v>#NUM!</v>
      </c>
      <c r="AT17" s="3">
        <f t="shared" si="7"/>
        <v>35.107527397188321</v>
      </c>
      <c r="AU17" s="3">
        <f t="shared" si="7"/>
        <v>109.82390359088632</v>
      </c>
      <c r="AV17" s="3">
        <f t="shared" si="7"/>
        <v>259.66666666666652</v>
      </c>
      <c r="AW17" s="3">
        <f t="shared" si="7"/>
        <v>4.6380052388997823</v>
      </c>
      <c r="AX17" s="3">
        <f t="shared" si="7"/>
        <v>81.063282861690737</v>
      </c>
      <c r="AY17" s="3">
        <f t="shared" si="7"/>
        <v>8.1741294272117919</v>
      </c>
      <c r="AZ17" s="3">
        <f t="shared" si="7"/>
        <v>28.898737456938058</v>
      </c>
      <c r="BA17" s="3">
        <f t="shared" si="7"/>
        <v>34.820308117728537</v>
      </c>
      <c r="BB17" s="3">
        <f t="shared" si="7"/>
        <v>22.908341189644723</v>
      </c>
      <c r="BC17" s="3">
        <f t="shared" si="7"/>
        <v>66.536313155702416</v>
      </c>
      <c r="BD17" s="3">
        <f t="shared" si="7"/>
        <v>19.287165070249859</v>
      </c>
      <c r="BE17" s="3">
        <f t="shared" si="7"/>
        <v>30.356666648475571</v>
      </c>
      <c r="BF17" s="3" t="e">
        <f t="shared" si="7"/>
        <v>#NUM!</v>
      </c>
      <c r="BG17" s="3">
        <f t="shared" si="7"/>
        <v>46.963624365251171</v>
      </c>
      <c r="BH17" s="3">
        <f t="shared" si="7"/>
        <v>40.329061426874219</v>
      </c>
      <c r="BI17" s="3">
        <f t="shared" si="7"/>
        <v>0.42230101839767092</v>
      </c>
      <c r="BJ17" s="3">
        <f t="shared" si="7"/>
        <v>72.614752553037931</v>
      </c>
      <c r="BK17" s="3">
        <f t="shared" si="7"/>
        <v>3.4729701536034145</v>
      </c>
      <c r="BL17" s="3">
        <f t="shared" si="7"/>
        <v>20.497498132885724</v>
      </c>
      <c r="BM17" s="3">
        <f t="shared" si="7"/>
        <v>16.652427827777462</v>
      </c>
      <c r="BN17" s="3">
        <f t="shared" si="7"/>
        <v>48.777502984550836</v>
      </c>
      <c r="BO17" s="3" t="e">
        <f t="shared" si="7"/>
        <v>#NUM!</v>
      </c>
      <c r="BP17" s="3">
        <f t="shared" si="7"/>
        <v>8.4330683731594416</v>
      </c>
      <c r="BQ17" s="3">
        <f t="shared" si="7"/>
        <v>63.644763405465596</v>
      </c>
      <c r="BR17" s="3">
        <f t="shared" si="7"/>
        <v>23.386255745238159</v>
      </c>
      <c r="BS17" s="3">
        <f t="shared" si="7"/>
        <v>128.20163755710593</v>
      </c>
      <c r="BT17" s="3" t="e">
        <f t="shared" si="7"/>
        <v>#DIV/0!</v>
      </c>
      <c r="BU17" s="3">
        <f t="shared" si="7"/>
        <v>5.2296281750174813</v>
      </c>
      <c r="BV17" s="3">
        <f t="shared" si="6"/>
        <v>10.980748500655173</v>
      </c>
      <c r="BW17" s="3">
        <f t="shared" si="3"/>
        <v>2.7373270907163434</v>
      </c>
      <c r="BX17" s="3">
        <f t="shared" si="3"/>
        <v>29.776221417245686</v>
      </c>
      <c r="BY17" s="3">
        <f t="shared" si="3"/>
        <v>41.241807088099698</v>
      </c>
      <c r="BZ17" s="3" t="e">
        <f t="shared" si="3"/>
        <v>#DIV/0!</v>
      </c>
      <c r="CA17" s="3">
        <f t="shared" si="3"/>
        <v>42.9557000846223</v>
      </c>
      <c r="CB17" s="3">
        <f t="shared" si="3"/>
        <v>7.611368002590635</v>
      </c>
      <c r="CC17" s="3">
        <f t="shared" si="3"/>
        <v>49.653372722693099</v>
      </c>
      <c r="CD17" s="3">
        <f t="shared" si="3"/>
        <v>95.001521382662332</v>
      </c>
      <c r="CE17" s="3">
        <f t="shared" si="3"/>
        <v>8.1245798905744522</v>
      </c>
      <c r="CF17" s="3">
        <f t="shared" si="3"/>
        <v>22.934680032609918</v>
      </c>
      <c r="CG17" s="3">
        <f t="shared" si="3"/>
        <v>52.85121877601911</v>
      </c>
      <c r="CH17" s="3">
        <f t="shared" si="3"/>
        <v>82.18050262621199</v>
      </c>
      <c r="CI17" s="3">
        <f t="shared" si="3"/>
        <v>24.209484652700432</v>
      </c>
      <c r="CJ17" s="3">
        <f t="shared" si="3"/>
        <v>57.010297031644804</v>
      </c>
      <c r="CK17" s="3">
        <f t="shared" si="3"/>
        <v>6.0800189768875832</v>
      </c>
      <c r="CL17" s="3">
        <f t="shared" si="3"/>
        <v>11.040707492806067</v>
      </c>
      <c r="CM17" s="3">
        <f t="shared" si="3"/>
        <v>19.117364936836271</v>
      </c>
      <c r="CN17" s="3">
        <f t="shared" si="3"/>
        <v>59.622643487928038</v>
      </c>
      <c r="CO17" s="3">
        <f t="shared" si="3"/>
        <v>10.302278182763661</v>
      </c>
      <c r="CP17" s="3">
        <f t="shared" si="3"/>
        <v>42.6300289648674</v>
      </c>
      <c r="CQ17" s="3">
        <f t="shared" si="3"/>
        <v>73.617150309005169</v>
      </c>
      <c r="CR17" s="3">
        <f t="shared" si="3"/>
        <v>8.2295066710134464</v>
      </c>
      <c r="CS17" s="3">
        <f t="shared" si="3"/>
        <v>1.1749804404487076</v>
      </c>
      <c r="CT17" s="3">
        <f t="shared" si="3"/>
        <v>64.482497944400635</v>
      </c>
      <c r="CU17" s="3">
        <f t="shared" si="3"/>
        <v>17.783084292633497</v>
      </c>
      <c r="CV17" s="3">
        <f t="shared" si="3"/>
        <v>32.016890017477365</v>
      </c>
      <c r="CW17" s="3">
        <f t="shared" si="3"/>
        <v>17.640905102273628</v>
      </c>
      <c r="CX17" s="3">
        <f t="shared" si="3"/>
        <v>41.962766671204662</v>
      </c>
      <c r="CY17" s="3">
        <f t="shared" si="3"/>
        <v>51.494577161109476</v>
      </c>
      <c r="CZ17" s="3">
        <f t="shared" si="3"/>
        <v>22.696290398028243</v>
      </c>
      <c r="DA17" s="3">
        <f t="shared" si="3"/>
        <v>46.31385328888873</v>
      </c>
      <c r="DB17" s="3">
        <f t="shared" si="3"/>
        <v>11.875887599408232</v>
      </c>
      <c r="DC17" s="3" t="e">
        <f t="shared" si="3"/>
        <v>#DIV/0!</v>
      </c>
      <c r="DD17" s="3">
        <f t="shared" si="3"/>
        <v>23.146721980155654</v>
      </c>
      <c r="DE17" s="3">
        <f t="shared" si="3"/>
        <v>33.176000436141791</v>
      </c>
      <c r="DF17" s="3">
        <f t="shared" si="3"/>
        <v>65.541536072113715</v>
      </c>
      <c r="DG17" s="3">
        <f t="shared" si="3"/>
        <v>23.574682821522774</v>
      </c>
      <c r="DH17" s="3" t="e">
        <f t="shared" si="3"/>
        <v>#NUM!</v>
      </c>
      <c r="DI17" s="3">
        <f t="shared" si="3"/>
        <v>22.365399693033417</v>
      </c>
      <c r="DJ17" s="3">
        <f t="shared" si="3"/>
        <v>86.125040957077942</v>
      </c>
      <c r="DK17" s="3">
        <f t="shared" si="3"/>
        <v>58.036920238651497</v>
      </c>
      <c r="DL17" s="3">
        <f t="shared" si="3"/>
        <v>11.658023365207601</v>
      </c>
      <c r="DM17" s="3">
        <f t="shared" si="3"/>
        <v>1.5132270269210892</v>
      </c>
      <c r="DN17" s="3">
        <f t="shared" ref="DN17:DW17" si="8">IF(_xlfn.FORECAST.ETS($I17,DN$2:DN$12,_xlfn.ANCHORARRAY($I$2),1,1)&gt;0,_xlfn.FORECAST.ETS($I17,DN$2:DN$12,_xlfn.ANCHORARRAY($I$2),1,1),DN16)</f>
        <v>54.945962660631018</v>
      </c>
      <c r="DO17" s="3">
        <f t="shared" si="8"/>
        <v>1.9073678220567456</v>
      </c>
      <c r="DP17" s="3">
        <f t="shared" si="8"/>
        <v>102.74694089613601</v>
      </c>
      <c r="DQ17" s="3">
        <f t="shared" si="8"/>
        <v>46.109326903700392</v>
      </c>
      <c r="DR17" s="3">
        <f t="shared" si="8"/>
        <v>79.234215589667727</v>
      </c>
      <c r="DS17" s="3">
        <f t="shared" si="8"/>
        <v>21.508924504853763</v>
      </c>
      <c r="DT17" s="3">
        <f t="shared" si="8"/>
        <v>45.365355299114285</v>
      </c>
      <c r="DU17" s="3">
        <f t="shared" si="8"/>
        <v>9.1125000000000007</v>
      </c>
      <c r="DV17" s="3">
        <f t="shared" si="8"/>
        <v>5.2487970369136212</v>
      </c>
      <c r="DW17" s="3" t="e">
        <f t="shared" si="8"/>
        <v>#NUM!</v>
      </c>
      <c r="DX17" s="3"/>
      <c r="DZ17">
        <f t="shared" si="0"/>
        <v>259.66666666666652</v>
      </c>
      <c r="EA17" t="str" cm="1">
        <f t="array" ref="EA17">INDEX($J$1:$DW$1,0,MATCH(DZ17,J17:JDW17,0))</f>
        <v>Honduras</v>
      </c>
      <c r="ED17">
        <f t="shared" si="1"/>
        <v>0.42230101839767092</v>
      </c>
      <c r="EE17" t="str" cm="1">
        <f t="array" ref="EE17">INDEX($J$1:$DW$1,0,MATCH(ED17,J17:JDW17,0))</f>
        <v>Kazakhstan</v>
      </c>
    </row>
    <row r="18" spans="1:135" x14ac:dyDescent="0.2">
      <c r="A18">
        <v>93339430</v>
      </c>
      <c r="B18">
        <v>2014</v>
      </c>
      <c r="C18">
        <v>79.9052571397457</v>
      </c>
      <c r="D18" t="s">
        <v>194</v>
      </c>
      <c r="E18" t="s">
        <v>195</v>
      </c>
      <c r="F18" t="s">
        <v>86</v>
      </c>
    </row>
    <row r="19" spans="1:135" x14ac:dyDescent="0.2">
      <c r="A19">
        <v>93339430</v>
      </c>
      <c r="B19">
        <v>2013</v>
      </c>
      <c r="C19">
        <v>81.683318195579801</v>
      </c>
      <c r="D19" t="s">
        <v>194</v>
      </c>
      <c r="E19" t="s">
        <v>195</v>
      </c>
      <c r="F19" t="s">
        <v>86</v>
      </c>
    </row>
    <row r="20" spans="1:135" x14ac:dyDescent="0.2">
      <c r="A20">
        <v>93339430</v>
      </c>
      <c r="B20">
        <v>2012</v>
      </c>
      <c r="C20">
        <v>72.974114441416901</v>
      </c>
      <c r="D20" t="s">
        <v>194</v>
      </c>
      <c r="E20" t="s">
        <v>195</v>
      </c>
      <c r="F20" t="s">
        <v>86</v>
      </c>
    </row>
    <row r="21" spans="1:135" x14ac:dyDescent="0.2">
      <c r="A21">
        <v>93339430</v>
      </c>
      <c r="B21">
        <v>2011</v>
      </c>
      <c r="C21">
        <v>81.6666666666667</v>
      </c>
      <c r="D21" t="s">
        <v>194</v>
      </c>
      <c r="E21" t="s">
        <v>195</v>
      </c>
      <c r="F21" t="s">
        <v>86</v>
      </c>
      <c r="I21" t="s">
        <v>1145</v>
      </c>
    </row>
    <row r="22" spans="1:135" x14ac:dyDescent="0.2">
      <c r="A22">
        <v>81180217</v>
      </c>
      <c r="B22">
        <v>2020</v>
      </c>
      <c r="C22">
        <v>49.213744814645203</v>
      </c>
      <c r="D22" t="s">
        <v>397</v>
      </c>
      <c r="E22" t="s">
        <v>398</v>
      </c>
      <c r="F22" t="s">
        <v>399</v>
      </c>
      <c r="I22" s="6" t="s">
        <v>1132</v>
      </c>
      <c r="J22" s="2">
        <v>2025</v>
      </c>
    </row>
    <row r="23" spans="1:135" x14ac:dyDescent="0.2">
      <c r="A23">
        <v>81180217</v>
      </c>
      <c r="B23">
        <v>2019</v>
      </c>
      <c r="C23">
        <v>56.617993755313698</v>
      </c>
      <c r="D23" t="s">
        <v>397</v>
      </c>
      <c r="E23" t="s">
        <v>398</v>
      </c>
      <c r="F23" t="s">
        <v>399</v>
      </c>
      <c r="I23" s="6" t="s">
        <v>1133</v>
      </c>
      <c r="J23" s="2" t="s">
        <v>33</v>
      </c>
    </row>
    <row r="24" spans="1:135" x14ac:dyDescent="0.2">
      <c r="A24">
        <v>81180217</v>
      </c>
      <c r="B24">
        <v>2017</v>
      </c>
      <c r="C24">
        <v>53.510187525809599</v>
      </c>
      <c r="D24" t="s">
        <v>397</v>
      </c>
      <c r="E24" t="s">
        <v>398</v>
      </c>
      <c r="F24" t="s">
        <v>399</v>
      </c>
      <c r="I24" s="6" t="s">
        <v>1134</v>
      </c>
      <c r="J24" s="2">
        <f>INDEX(J2:DX17,MATCH(J22,I2:I17,0),MATCH(J23,J1:DX1,0))</f>
        <v>62.159002587279232</v>
      </c>
    </row>
    <row r="25" spans="1:135" x14ac:dyDescent="0.2">
      <c r="A25">
        <v>81180217</v>
      </c>
      <c r="B25">
        <v>2014</v>
      </c>
      <c r="C25">
        <v>83.723333333333301</v>
      </c>
      <c r="D25" t="s">
        <v>397</v>
      </c>
      <c r="E25" t="s">
        <v>398</v>
      </c>
      <c r="F25" t="s">
        <v>399</v>
      </c>
    </row>
    <row r="26" spans="1:135" x14ac:dyDescent="0.2">
      <c r="A26">
        <v>81180217</v>
      </c>
      <c r="B26">
        <v>2012</v>
      </c>
      <c r="C26">
        <v>45.361597749577903</v>
      </c>
      <c r="D26" t="s">
        <v>397</v>
      </c>
      <c r="E26" t="s">
        <v>398</v>
      </c>
      <c r="F26" t="s">
        <v>399</v>
      </c>
      <c r="I26" s="7"/>
      <c r="J26" s="7"/>
      <c r="K26" s="7"/>
      <c r="L26" s="7"/>
    </row>
    <row r="27" spans="1:135" x14ac:dyDescent="0.2">
      <c r="A27">
        <v>11897412</v>
      </c>
      <c r="B27">
        <v>2020</v>
      </c>
      <c r="C27">
        <v>13.2198968260497</v>
      </c>
      <c r="D27" t="s">
        <v>723</v>
      </c>
      <c r="E27" t="s">
        <v>724</v>
      </c>
      <c r="F27" t="s">
        <v>388</v>
      </c>
      <c r="I27" s="7" t="s">
        <v>1140</v>
      </c>
      <c r="J27" s="7"/>
      <c r="K27" s="7"/>
      <c r="L27" s="7"/>
    </row>
    <row r="28" spans="1:135" x14ac:dyDescent="0.2">
      <c r="A28">
        <v>11897412</v>
      </c>
      <c r="B28">
        <v>2019</v>
      </c>
      <c r="C28">
        <v>15.1825210142358</v>
      </c>
      <c r="D28" t="s">
        <v>723</v>
      </c>
      <c r="E28" t="s">
        <v>724</v>
      </c>
      <c r="F28" t="s">
        <v>388</v>
      </c>
      <c r="I28" s="6" t="s">
        <v>1132</v>
      </c>
      <c r="J28" s="2">
        <v>2011</v>
      </c>
      <c r="K28" s="9"/>
      <c r="L28" s="9"/>
    </row>
    <row r="29" spans="1:135" x14ac:dyDescent="0.2">
      <c r="A29">
        <v>11897412</v>
      </c>
      <c r="B29">
        <v>2018</v>
      </c>
      <c r="C29">
        <v>14.006533164426299</v>
      </c>
      <c r="D29" t="s">
        <v>723</v>
      </c>
      <c r="E29" t="s">
        <v>724</v>
      </c>
      <c r="F29" t="s">
        <v>388</v>
      </c>
      <c r="I29" s="6" t="s">
        <v>1137</v>
      </c>
      <c r="J29" s="2" t="str" cm="1">
        <f t="array" ref="J29">INDEX(EA2:EA17,MATCH(J28,I2:I17,0),0)</f>
        <v>Qatar</v>
      </c>
      <c r="K29" s="9"/>
      <c r="L29" s="9"/>
    </row>
    <row r="30" spans="1:135" x14ac:dyDescent="0.2">
      <c r="A30">
        <v>11897412</v>
      </c>
      <c r="B30">
        <v>2017</v>
      </c>
      <c r="C30">
        <v>17.908620040914599</v>
      </c>
      <c r="D30" t="s">
        <v>723</v>
      </c>
      <c r="E30" t="s">
        <v>724</v>
      </c>
      <c r="F30" t="s">
        <v>388</v>
      </c>
      <c r="I30" s="6" t="s">
        <v>1134</v>
      </c>
      <c r="J30" s="2" cm="1">
        <f t="array" ref="J30">INDEX(DZ2:DZ17,MATCH(J28,I2:I17,0),0)</f>
        <v>93.659000000000006</v>
      </c>
      <c r="K30" s="9"/>
      <c r="L30" s="9"/>
    </row>
    <row r="31" spans="1:135" x14ac:dyDescent="0.2">
      <c r="A31">
        <v>11897412</v>
      </c>
      <c r="B31">
        <v>2016</v>
      </c>
      <c r="C31">
        <v>16.7983968281331</v>
      </c>
      <c r="D31" t="s">
        <v>723</v>
      </c>
      <c r="E31" t="s">
        <v>724</v>
      </c>
      <c r="F31" t="s">
        <v>388</v>
      </c>
    </row>
    <row r="32" spans="1:135" x14ac:dyDescent="0.2">
      <c r="A32">
        <v>12633823</v>
      </c>
      <c r="B32">
        <v>2020</v>
      </c>
      <c r="C32">
        <v>49.342110177906498</v>
      </c>
      <c r="D32" t="s">
        <v>448</v>
      </c>
      <c r="E32" t="s">
        <v>449</v>
      </c>
      <c r="F32" t="s">
        <v>348</v>
      </c>
      <c r="I32" s="7"/>
      <c r="J32" s="7"/>
      <c r="L32" s="7"/>
    </row>
    <row r="33" spans="1:18" x14ac:dyDescent="0.2">
      <c r="A33">
        <v>12633823</v>
      </c>
      <c r="B33">
        <v>2019</v>
      </c>
      <c r="C33">
        <v>47.153997454587497</v>
      </c>
      <c r="D33" t="s">
        <v>448</v>
      </c>
      <c r="E33" t="s">
        <v>449</v>
      </c>
      <c r="F33" t="s">
        <v>348</v>
      </c>
      <c r="I33" s="7" t="s">
        <v>1143</v>
      </c>
      <c r="J33" s="7"/>
      <c r="L33" s="7"/>
      <c r="M33" s="7" t="s">
        <v>1144</v>
      </c>
      <c r="N33" s="7"/>
      <c r="P33" s="7"/>
    </row>
    <row r="34" spans="1:18" x14ac:dyDescent="0.2">
      <c r="A34">
        <v>12633823</v>
      </c>
      <c r="B34">
        <v>2018</v>
      </c>
      <c r="C34">
        <v>56.536149033931501</v>
      </c>
      <c r="D34" t="s">
        <v>448</v>
      </c>
      <c r="E34" t="s">
        <v>449</v>
      </c>
      <c r="F34" t="s">
        <v>348</v>
      </c>
      <c r="I34" s="6" t="s">
        <v>1132</v>
      </c>
      <c r="J34" s="2">
        <v>2025</v>
      </c>
    </row>
    <row r="35" spans="1:18" x14ac:dyDescent="0.2">
      <c r="A35">
        <v>12633823</v>
      </c>
      <c r="B35">
        <v>2017</v>
      </c>
      <c r="C35">
        <v>53.5175525145496</v>
      </c>
      <c r="D35" t="s">
        <v>448</v>
      </c>
      <c r="E35" t="s">
        <v>449</v>
      </c>
      <c r="F35" t="s">
        <v>348</v>
      </c>
      <c r="I35" s="6" t="s">
        <v>1129</v>
      </c>
      <c r="J35" s="2" t="str" cm="1">
        <f t="array" ref="J35">INDEX(EE13:EE17,MATCH(J34,I13:I17,0),0)</f>
        <v>Kazakhstan</v>
      </c>
    </row>
    <row r="36" spans="1:18" x14ac:dyDescent="0.2">
      <c r="A36">
        <v>12633823</v>
      </c>
      <c r="B36">
        <v>2016</v>
      </c>
      <c r="C36">
        <v>47.186723795330302</v>
      </c>
      <c r="D36" t="s">
        <v>448</v>
      </c>
      <c r="E36" t="s">
        <v>449</v>
      </c>
      <c r="F36" t="s">
        <v>348</v>
      </c>
      <c r="I36" s="6" t="s">
        <v>1134</v>
      </c>
      <c r="J36" s="2" cm="1">
        <f t="array" ref="J36">INDEX(ED13:ED17,MATCH(J34,I13:I17,0),0)</f>
        <v>0.42230101839767092</v>
      </c>
    </row>
    <row r="37" spans="1:18" x14ac:dyDescent="0.2">
      <c r="A37">
        <v>12633823</v>
      </c>
      <c r="B37">
        <v>2015</v>
      </c>
      <c r="C37">
        <v>49.023909393519297</v>
      </c>
      <c r="D37" t="s">
        <v>448</v>
      </c>
      <c r="E37" t="s">
        <v>449</v>
      </c>
      <c r="F37" t="s">
        <v>348</v>
      </c>
    </row>
    <row r="38" spans="1:18" x14ac:dyDescent="0.2">
      <c r="A38">
        <v>12633823</v>
      </c>
      <c r="B38">
        <v>2014</v>
      </c>
      <c r="C38">
        <v>66.648153290752603</v>
      </c>
      <c r="D38" t="s">
        <v>448</v>
      </c>
      <c r="E38" t="s">
        <v>449</v>
      </c>
      <c r="F38" t="s">
        <v>348</v>
      </c>
    </row>
    <row r="39" spans="1:18" x14ac:dyDescent="0.2">
      <c r="A39">
        <v>12633823</v>
      </c>
      <c r="B39">
        <v>2013</v>
      </c>
      <c r="C39">
        <v>62.5</v>
      </c>
      <c r="D39" t="s">
        <v>448</v>
      </c>
      <c r="E39" t="s">
        <v>449</v>
      </c>
      <c r="F39" t="s">
        <v>348</v>
      </c>
      <c r="I39" t="s">
        <v>1141</v>
      </c>
      <c r="P39" s="8"/>
      <c r="Q39" s="8"/>
      <c r="R39" s="8"/>
    </row>
    <row r="40" spans="1:18" x14ac:dyDescent="0.2">
      <c r="A40">
        <v>12633823</v>
      </c>
      <c r="B40">
        <v>2012</v>
      </c>
      <c r="C40">
        <v>47.572815533980602</v>
      </c>
      <c r="D40" t="s">
        <v>448</v>
      </c>
      <c r="E40" t="s">
        <v>449</v>
      </c>
      <c r="F40" t="s">
        <v>348</v>
      </c>
      <c r="I40" s="6" t="s">
        <v>1142</v>
      </c>
      <c r="J40" s="2">
        <v>2018</v>
      </c>
      <c r="P40" s="8"/>
      <c r="Q40" s="8"/>
      <c r="R40" s="8"/>
    </row>
    <row r="41" spans="1:18" x14ac:dyDescent="0.2">
      <c r="A41">
        <v>12633823</v>
      </c>
      <c r="B41">
        <v>2011</v>
      </c>
      <c r="C41">
        <v>47.872340425531902</v>
      </c>
      <c r="D41" t="s">
        <v>448</v>
      </c>
      <c r="E41" t="s">
        <v>449</v>
      </c>
      <c r="F41" t="s">
        <v>348</v>
      </c>
      <c r="I41" s="6" t="s">
        <v>1130</v>
      </c>
      <c r="J41" s="2" t="str" cm="1">
        <f t="array" ref="J41">INDEX(D:D,MATCH(MAX(_xlfn._xlws.FILTER(Table372[INTERNET_PRICE],Table372[YEAR]=J40))&amp;""&amp;J40,C:C&amp;""&amp;B:B,0),0)</f>
        <v>Dubai</v>
      </c>
      <c r="P41" s="8"/>
      <c r="Q41" s="8"/>
      <c r="R41" s="8"/>
    </row>
    <row r="42" spans="1:18" x14ac:dyDescent="0.2">
      <c r="A42">
        <v>86753632</v>
      </c>
      <c r="B42">
        <v>2020</v>
      </c>
      <c r="C42">
        <v>25.393156017184701</v>
      </c>
      <c r="D42" t="s">
        <v>980</v>
      </c>
      <c r="E42" t="s">
        <v>981</v>
      </c>
      <c r="F42" t="s">
        <v>372</v>
      </c>
      <c r="O42" s="1"/>
      <c r="P42" s="7"/>
    </row>
    <row r="43" spans="1:18" x14ac:dyDescent="0.2">
      <c r="A43">
        <v>86753632</v>
      </c>
      <c r="B43">
        <v>2019</v>
      </c>
      <c r="C43">
        <v>31.747339229758101</v>
      </c>
      <c r="D43" t="s">
        <v>980</v>
      </c>
      <c r="E43" t="s">
        <v>981</v>
      </c>
      <c r="F43" t="s">
        <v>372</v>
      </c>
      <c r="I43" s="1"/>
    </row>
    <row r="44" spans="1:18" x14ac:dyDescent="0.2">
      <c r="A44">
        <v>86753632</v>
      </c>
      <c r="B44">
        <v>2018</v>
      </c>
      <c r="C44">
        <v>31.638380680578699</v>
      </c>
      <c r="D44" t="s">
        <v>980</v>
      </c>
      <c r="E44" t="s">
        <v>981</v>
      </c>
      <c r="F44" t="s">
        <v>372</v>
      </c>
      <c r="I44" s="1"/>
    </row>
    <row r="45" spans="1:18" x14ac:dyDescent="0.2">
      <c r="A45">
        <v>21199728</v>
      </c>
      <c r="B45">
        <v>2018</v>
      </c>
      <c r="C45">
        <v>31.9559738305705</v>
      </c>
      <c r="D45" t="s">
        <v>1027</v>
      </c>
      <c r="E45" t="s">
        <v>1028</v>
      </c>
      <c r="F45" t="s">
        <v>183</v>
      </c>
      <c r="I45" s="1"/>
    </row>
    <row r="46" spans="1:18" x14ac:dyDescent="0.2">
      <c r="A46">
        <v>62195201</v>
      </c>
      <c r="B46">
        <v>2020</v>
      </c>
      <c r="C46">
        <v>9.4571780886285399</v>
      </c>
      <c r="D46" t="s">
        <v>135</v>
      </c>
      <c r="E46" t="s">
        <v>136</v>
      </c>
      <c r="F46" t="s">
        <v>137</v>
      </c>
      <c r="I46" s="1"/>
    </row>
    <row r="47" spans="1:18" x14ac:dyDescent="0.2">
      <c r="A47">
        <v>62195201</v>
      </c>
      <c r="B47">
        <v>2019</v>
      </c>
      <c r="C47">
        <v>8.5691194555468808</v>
      </c>
      <c r="D47" t="s">
        <v>135</v>
      </c>
      <c r="E47" t="s">
        <v>136</v>
      </c>
      <c r="F47" t="s">
        <v>137</v>
      </c>
      <c r="I47" s="1"/>
    </row>
    <row r="48" spans="1:18" x14ac:dyDescent="0.2">
      <c r="A48">
        <v>62195201</v>
      </c>
      <c r="B48">
        <v>2018</v>
      </c>
      <c r="C48">
        <v>10.099508036234299</v>
      </c>
      <c r="D48" t="s">
        <v>135</v>
      </c>
      <c r="E48" t="s">
        <v>136</v>
      </c>
      <c r="F48" t="s">
        <v>137</v>
      </c>
      <c r="I48" s="1"/>
    </row>
    <row r="49" spans="1:9" x14ac:dyDescent="0.2">
      <c r="A49">
        <v>62195201</v>
      </c>
      <c r="B49">
        <v>2017</v>
      </c>
      <c r="C49">
        <v>11.2024805884271</v>
      </c>
      <c r="D49" t="s">
        <v>135</v>
      </c>
      <c r="E49" t="s">
        <v>136</v>
      </c>
      <c r="F49" t="s">
        <v>137</v>
      </c>
      <c r="I49" s="1"/>
    </row>
    <row r="50" spans="1:9" x14ac:dyDescent="0.2">
      <c r="A50">
        <v>62195201</v>
      </c>
      <c r="B50">
        <v>2016</v>
      </c>
      <c r="C50">
        <v>15.9940039687714</v>
      </c>
      <c r="D50" t="s">
        <v>135</v>
      </c>
      <c r="E50" t="s">
        <v>136</v>
      </c>
      <c r="F50" t="s">
        <v>137</v>
      </c>
    </row>
    <row r="51" spans="1:9" x14ac:dyDescent="0.2">
      <c r="A51">
        <v>62195201</v>
      </c>
      <c r="B51">
        <v>2015</v>
      </c>
      <c r="C51">
        <v>22.963595122060799</v>
      </c>
      <c r="D51" t="s">
        <v>135</v>
      </c>
      <c r="E51" t="s">
        <v>136</v>
      </c>
      <c r="F51" t="s">
        <v>137</v>
      </c>
    </row>
    <row r="52" spans="1:9" x14ac:dyDescent="0.2">
      <c r="A52">
        <v>62195201</v>
      </c>
      <c r="B52">
        <v>2014</v>
      </c>
      <c r="C52">
        <v>15.4384955204221</v>
      </c>
      <c r="D52" t="s">
        <v>135</v>
      </c>
      <c r="E52" t="s">
        <v>136</v>
      </c>
      <c r="F52" t="s">
        <v>137</v>
      </c>
    </row>
    <row r="53" spans="1:9" x14ac:dyDescent="0.2">
      <c r="A53">
        <v>62195201</v>
      </c>
      <c r="B53">
        <v>2013</v>
      </c>
      <c r="C53">
        <v>27.138643067846601</v>
      </c>
      <c r="D53" t="s">
        <v>135</v>
      </c>
      <c r="E53" t="s">
        <v>136</v>
      </c>
      <c r="F53" t="s">
        <v>137</v>
      </c>
    </row>
    <row r="54" spans="1:9" x14ac:dyDescent="0.2">
      <c r="A54">
        <v>62195201</v>
      </c>
      <c r="B54">
        <v>2012</v>
      </c>
      <c r="C54">
        <v>13.0393551446183</v>
      </c>
      <c r="D54" t="s">
        <v>135</v>
      </c>
      <c r="E54" t="s">
        <v>136</v>
      </c>
      <c r="F54" t="s">
        <v>137</v>
      </c>
    </row>
    <row r="55" spans="1:9" x14ac:dyDescent="0.2">
      <c r="A55">
        <v>62195201</v>
      </c>
      <c r="B55">
        <v>2011</v>
      </c>
      <c r="C55">
        <v>17.237544483985801</v>
      </c>
      <c r="D55" t="s">
        <v>135</v>
      </c>
      <c r="E55" t="s">
        <v>136</v>
      </c>
      <c r="F55" t="s">
        <v>137</v>
      </c>
    </row>
    <row r="56" spans="1:9" x14ac:dyDescent="0.2">
      <c r="A56">
        <v>62195201</v>
      </c>
      <c r="B56">
        <v>2010</v>
      </c>
      <c r="C56">
        <v>14.5491803278689</v>
      </c>
      <c r="D56" t="s">
        <v>135</v>
      </c>
      <c r="E56" t="s">
        <v>136</v>
      </c>
      <c r="F56" t="s">
        <v>137</v>
      </c>
    </row>
    <row r="57" spans="1:9" x14ac:dyDescent="0.2">
      <c r="A57">
        <v>81625353</v>
      </c>
      <c r="B57">
        <v>2020</v>
      </c>
      <c r="C57">
        <v>91.854513775454606</v>
      </c>
      <c r="D57" t="s">
        <v>1078</v>
      </c>
      <c r="E57" t="s">
        <v>1079</v>
      </c>
      <c r="F57" t="s">
        <v>86</v>
      </c>
    </row>
    <row r="58" spans="1:9" x14ac:dyDescent="0.2">
      <c r="A58">
        <v>81625353</v>
      </c>
      <c r="B58">
        <v>2019</v>
      </c>
      <c r="C58">
        <v>83.044357122319695</v>
      </c>
      <c r="D58" t="s">
        <v>1078</v>
      </c>
      <c r="E58" t="s">
        <v>1079</v>
      </c>
      <c r="F58" t="s">
        <v>86</v>
      </c>
    </row>
    <row r="59" spans="1:9" x14ac:dyDescent="0.2">
      <c r="A59">
        <v>74839267</v>
      </c>
      <c r="B59">
        <v>2020</v>
      </c>
      <c r="C59">
        <v>60.856666666666698</v>
      </c>
      <c r="D59" t="s">
        <v>961</v>
      </c>
      <c r="E59" t="s">
        <v>681</v>
      </c>
      <c r="F59" t="s">
        <v>1126</v>
      </c>
    </row>
    <row r="60" spans="1:9" x14ac:dyDescent="0.2">
      <c r="A60">
        <v>74839267</v>
      </c>
      <c r="B60">
        <v>2019</v>
      </c>
      <c r="C60">
        <v>68.8333333333333</v>
      </c>
      <c r="D60" t="s">
        <v>961</v>
      </c>
      <c r="E60" t="s">
        <v>681</v>
      </c>
      <c r="F60" t="s">
        <v>1126</v>
      </c>
    </row>
    <row r="61" spans="1:9" x14ac:dyDescent="0.2">
      <c r="A61">
        <v>74839267</v>
      </c>
      <c r="B61">
        <v>2013</v>
      </c>
      <c r="C61">
        <v>45</v>
      </c>
      <c r="D61" t="s">
        <v>961</v>
      </c>
      <c r="E61" t="s">
        <v>681</v>
      </c>
      <c r="F61" t="s">
        <v>1126</v>
      </c>
    </row>
    <row r="62" spans="1:9" x14ac:dyDescent="0.2">
      <c r="A62">
        <v>79233326</v>
      </c>
      <c r="B62">
        <v>2018</v>
      </c>
      <c r="C62">
        <v>90.579333203097207</v>
      </c>
      <c r="D62" t="s">
        <v>1045</v>
      </c>
      <c r="E62" t="s">
        <v>195</v>
      </c>
      <c r="F62" t="s">
        <v>86</v>
      </c>
    </row>
    <row r="63" spans="1:9" x14ac:dyDescent="0.2">
      <c r="A63">
        <v>79233326</v>
      </c>
      <c r="B63">
        <v>2017</v>
      </c>
      <c r="C63">
        <v>95.180688121526401</v>
      </c>
      <c r="D63" t="s">
        <v>1045</v>
      </c>
      <c r="E63" t="s">
        <v>195</v>
      </c>
      <c r="F63" t="s">
        <v>86</v>
      </c>
    </row>
    <row r="64" spans="1:9" x14ac:dyDescent="0.2">
      <c r="A64">
        <v>87611458</v>
      </c>
      <c r="B64">
        <v>2020</v>
      </c>
      <c r="C64">
        <v>68</v>
      </c>
      <c r="D64" t="s">
        <v>629</v>
      </c>
      <c r="E64" t="s">
        <v>1</v>
      </c>
      <c r="F64" t="s">
        <v>1126</v>
      </c>
    </row>
    <row r="65" spans="1:6" x14ac:dyDescent="0.2">
      <c r="A65">
        <v>87611458</v>
      </c>
      <c r="B65">
        <v>2019</v>
      </c>
      <c r="C65">
        <v>75.665000000000006</v>
      </c>
      <c r="D65" t="s">
        <v>629</v>
      </c>
      <c r="E65" t="s">
        <v>1</v>
      </c>
      <c r="F65" t="s">
        <v>1126</v>
      </c>
    </row>
    <row r="66" spans="1:6" x14ac:dyDescent="0.2">
      <c r="A66">
        <v>87611458</v>
      </c>
      <c r="B66">
        <v>2018</v>
      </c>
      <c r="C66">
        <v>67.218888888888898</v>
      </c>
      <c r="D66" t="s">
        <v>629</v>
      </c>
      <c r="E66" t="s">
        <v>1</v>
      </c>
      <c r="F66" t="s">
        <v>1126</v>
      </c>
    </row>
    <row r="67" spans="1:6" x14ac:dyDescent="0.2">
      <c r="A67">
        <v>87611458</v>
      </c>
      <c r="B67">
        <v>2017</v>
      </c>
      <c r="C67">
        <v>60</v>
      </c>
      <c r="D67" t="s">
        <v>629</v>
      </c>
      <c r="E67" t="s">
        <v>1</v>
      </c>
      <c r="F67" t="s">
        <v>1126</v>
      </c>
    </row>
    <row r="68" spans="1:6" x14ac:dyDescent="0.2">
      <c r="A68">
        <v>87611458</v>
      </c>
      <c r="B68">
        <v>2016</v>
      </c>
      <c r="C68">
        <v>59.8</v>
      </c>
      <c r="D68" t="s">
        <v>629</v>
      </c>
      <c r="E68" t="s">
        <v>1</v>
      </c>
      <c r="F68" t="s">
        <v>1126</v>
      </c>
    </row>
    <row r="69" spans="1:6" x14ac:dyDescent="0.2">
      <c r="A69">
        <v>29766600</v>
      </c>
      <c r="B69">
        <v>2020</v>
      </c>
      <c r="C69">
        <v>76.1111111111111</v>
      </c>
      <c r="D69" t="s">
        <v>682</v>
      </c>
      <c r="E69" t="s">
        <v>683</v>
      </c>
      <c r="F69" t="s">
        <v>1126</v>
      </c>
    </row>
    <row r="70" spans="1:6" x14ac:dyDescent="0.2">
      <c r="A70">
        <v>29766600</v>
      </c>
      <c r="B70">
        <v>2019</v>
      </c>
      <c r="C70">
        <v>63.499285714285698</v>
      </c>
      <c r="D70" t="s">
        <v>682</v>
      </c>
      <c r="E70" t="s">
        <v>683</v>
      </c>
      <c r="F70" t="s">
        <v>1126</v>
      </c>
    </row>
    <row r="71" spans="1:6" x14ac:dyDescent="0.2">
      <c r="A71">
        <v>29766600</v>
      </c>
      <c r="B71">
        <v>2018</v>
      </c>
      <c r="C71">
        <v>65.47</v>
      </c>
      <c r="D71" t="s">
        <v>682</v>
      </c>
      <c r="E71" t="s">
        <v>683</v>
      </c>
      <c r="F71" t="s">
        <v>1126</v>
      </c>
    </row>
    <row r="72" spans="1:6" x14ac:dyDescent="0.2">
      <c r="A72">
        <v>29766600</v>
      </c>
      <c r="B72">
        <v>2017</v>
      </c>
      <c r="C72">
        <v>83.6</v>
      </c>
      <c r="D72" t="s">
        <v>682</v>
      </c>
      <c r="E72" t="s">
        <v>683</v>
      </c>
      <c r="F72" t="s">
        <v>1126</v>
      </c>
    </row>
    <row r="73" spans="1:6" x14ac:dyDescent="0.2">
      <c r="A73">
        <v>29766600</v>
      </c>
      <c r="B73">
        <v>2016</v>
      </c>
      <c r="C73">
        <v>51</v>
      </c>
      <c r="D73" t="s">
        <v>682</v>
      </c>
      <c r="E73" t="s">
        <v>683</v>
      </c>
      <c r="F73" t="s">
        <v>1126</v>
      </c>
    </row>
    <row r="74" spans="1:6" x14ac:dyDescent="0.2">
      <c r="A74">
        <v>29766600</v>
      </c>
      <c r="B74">
        <v>2015</v>
      </c>
      <c r="C74">
        <v>42</v>
      </c>
      <c r="D74" t="s">
        <v>682</v>
      </c>
      <c r="E74" t="s">
        <v>683</v>
      </c>
      <c r="F74" t="s">
        <v>1126</v>
      </c>
    </row>
    <row r="75" spans="1:6" x14ac:dyDescent="0.2">
      <c r="A75">
        <v>29766600</v>
      </c>
      <c r="B75">
        <v>2013</v>
      </c>
      <c r="C75">
        <v>56.198</v>
      </c>
      <c r="D75" t="s">
        <v>682</v>
      </c>
      <c r="E75" t="s">
        <v>683</v>
      </c>
      <c r="F75" t="s">
        <v>1126</v>
      </c>
    </row>
    <row r="76" spans="1:6" x14ac:dyDescent="0.2">
      <c r="A76">
        <v>87415151</v>
      </c>
      <c r="B76">
        <v>2020</v>
      </c>
      <c r="C76">
        <v>67.498333333333306</v>
      </c>
      <c r="D76" t="s">
        <v>23</v>
      </c>
      <c r="E76" t="s">
        <v>25</v>
      </c>
      <c r="F76" t="s">
        <v>1126</v>
      </c>
    </row>
    <row r="77" spans="1:6" x14ac:dyDescent="0.2">
      <c r="A77">
        <v>54720805</v>
      </c>
      <c r="B77">
        <v>2020</v>
      </c>
      <c r="C77">
        <v>13.7207637965024</v>
      </c>
      <c r="D77" t="s">
        <v>23</v>
      </c>
      <c r="E77" t="s">
        <v>24</v>
      </c>
      <c r="F77" t="s">
        <v>22</v>
      </c>
    </row>
    <row r="78" spans="1:6" x14ac:dyDescent="0.2">
      <c r="A78">
        <v>87415151</v>
      </c>
      <c r="B78">
        <v>2019</v>
      </c>
      <c r="C78">
        <v>82</v>
      </c>
      <c r="D78" t="s">
        <v>23</v>
      </c>
      <c r="E78" t="s">
        <v>25</v>
      </c>
      <c r="F78" t="s">
        <v>1126</v>
      </c>
    </row>
    <row r="79" spans="1:6" x14ac:dyDescent="0.2">
      <c r="A79">
        <v>54720805</v>
      </c>
      <c r="B79">
        <v>2019</v>
      </c>
      <c r="C79">
        <v>16.985423962168198</v>
      </c>
      <c r="D79" t="s">
        <v>23</v>
      </c>
      <c r="E79" t="s">
        <v>24</v>
      </c>
      <c r="F79" t="s">
        <v>22</v>
      </c>
    </row>
    <row r="80" spans="1:6" x14ac:dyDescent="0.2">
      <c r="A80">
        <v>87415151</v>
      </c>
      <c r="B80">
        <v>2018</v>
      </c>
      <c r="C80">
        <v>70.1666666666667</v>
      </c>
      <c r="D80" t="s">
        <v>23</v>
      </c>
      <c r="E80" t="s">
        <v>25</v>
      </c>
      <c r="F80" t="s">
        <v>1126</v>
      </c>
    </row>
    <row r="81" spans="1:6" x14ac:dyDescent="0.2">
      <c r="A81">
        <v>54720805</v>
      </c>
      <c r="B81">
        <v>2018</v>
      </c>
      <c r="C81">
        <v>16.8321492675272</v>
      </c>
      <c r="D81" t="s">
        <v>23</v>
      </c>
      <c r="E81" t="s">
        <v>24</v>
      </c>
      <c r="F81" t="s">
        <v>22</v>
      </c>
    </row>
    <row r="82" spans="1:6" x14ac:dyDescent="0.2">
      <c r="A82">
        <v>54720805</v>
      </c>
      <c r="B82">
        <v>2017</v>
      </c>
      <c r="C82">
        <v>12.5024122625644</v>
      </c>
      <c r="D82" t="s">
        <v>23</v>
      </c>
      <c r="E82" t="s">
        <v>24</v>
      </c>
      <c r="F82" t="s">
        <v>22</v>
      </c>
    </row>
    <row r="83" spans="1:6" x14ac:dyDescent="0.2">
      <c r="A83">
        <v>54720805</v>
      </c>
      <c r="B83">
        <v>2016</v>
      </c>
      <c r="C83">
        <v>63.160463239296497</v>
      </c>
      <c r="D83" t="s">
        <v>23</v>
      </c>
      <c r="E83" t="s">
        <v>24</v>
      </c>
      <c r="F83" t="s">
        <v>22</v>
      </c>
    </row>
    <row r="84" spans="1:6" x14ac:dyDescent="0.2">
      <c r="A84">
        <v>87415151</v>
      </c>
      <c r="B84">
        <v>2016</v>
      </c>
      <c r="C84">
        <v>58.25</v>
      </c>
      <c r="D84" t="s">
        <v>23</v>
      </c>
      <c r="E84" t="s">
        <v>25</v>
      </c>
      <c r="F84" t="s">
        <v>1126</v>
      </c>
    </row>
    <row r="85" spans="1:6" x14ac:dyDescent="0.2">
      <c r="A85">
        <v>54720805</v>
      </c>
      <c r="B85">
        <v>2015</v>
      </c>
      <c r="C85">
        <v>71.010312882363195</v>
      </c>
      <c r="D85" t="s">
        <v>23</v>
      </c>
      <c r="E85" t="s">
        <v>24</v>
      </c>
      <c r="F85" t="s">
        <v>22</v>
      </c>
    </row>
    <row r="86" spans="1:6" x14ac:dyDescent="0.2">
      <c r="A86">
        <v>54720805</v>
      </c>
      <c r="B86">
        <v>2014</v>
      </c>
      <c r="C86">
        <v>44.762757385854997</v>
      </c>
      <c r="D86" t="s">
        <v>23</v>
      </c>
      <c r="E86" t="s">
        <v>24</v>
      </c>
      <c r="F86" t="s">
        <v>22</v>
      </c>
    </row>
    <row r="87" spans="1:6" x14ac:dyDescent="0.2">
      <c r="A87">
        <v>54720805</v>
      </c>
      <c r="B87">
        <v>2013</v>
      </c>
      <c r="C87">
        <v>50.946142649199402</v>
      </c>
      <c r="D87" t="s">
        <v>23</v>
      </c>
      <c r="E87" t="s">
        <v>24</v>
      </c>
      <c r="F87" t="s">
        <v>22</v>
      </c>
    </row>
    <row r="88" spans="1:6" x14ac:dyDescent="0.2">
      <c r="A88">
        <v>22205089</v>
      </c>
      <c r="B88">
        <v>2020</v>
      </c>
      <c r="C88">
        <v>45.178261106631503</v>
      </c>
      <c r="D88" t="s">
        <v>373</v>
      </c>
      <c r="E88" t="s">
        <v>374</v>
      </c>
      <c r="F88" t="s">
        <v>375</v>
      </c>
    </row>
    <row r="89" spans="1:6" x14ac:dyDescent="0.2">
      <c r="A89">
        <v>22205089</v>
      </c>
      <c r="B89">
        <v>2019</v>
      </c>
      <c r="C89">
        <v>24.056953278116801</v>
      </c>
      <c r="D89" t="s">
        <v>373</v>
      </c>
      <c r="E89" t="s">
        <v>374</v>
      </c>
      <c r="F89" t="s">
        <v>375</v>
      </c>
    </row>
    <row r="90" spans="1:6" x14ac:dyDescent="0.2">
      <c r="A90">
        <v>22205089</v>
      </c>
      <c r="B90">
        <v>2018</v>
      </c>
      <c r="C90">
        <v>19.7407947815638</v>
      </c>
      <c r="D90" t="s">
        <v>373</v>
      </c>
      <c r="E90" t="s">
        <v>374</v>
      </c>
      <c r="F90" t="s">
        <v>375</v>
      </c>
    </row>
    <row r="91" spans="1:6" x14ac:dyDescent="0.2">
      <c r="A91">
        <v>22205089</v>
      </c>
      <c r="B91">
        <v>2017</v>
      </c>
      <c r="C91">
        <v>40.9318930231127</v>
      </c>
      <c r="D91" t="s">
        <v>373</v>
      </c>
      <c r="E91" t="s">
        <v>374</v>
      </c>
      <c r="F91" t="s">
        <v>375</v>
      </c>
    </row>
    <row r="92" spans="1:6" x14ac:dyDescent="0.2">
      <c r="A92">
        <v>22205089</v>
      </c>
      <c r="B92">
        <v>2016</v>
      </c>
      <c r="C92">
        <v>35.111698330979401</v>
      </c>
      <c r="D92" t="s">
        <v>373</v>
      </c>
      <c r="E92" t="s">
        <v>374</v>
      </c>
      <c r="F92" t="s">
        <v>375</v>
      </c>
    </row>
    <row r="93" spans="1:6" x14ac:dyDescent="0.2">
      <c r="A93">
        <v>22205089</v>
      </c>
      <c r="B93">
        <v>2015</v>
      </c>
      <c r="C93">
        <v>32.893084919399399</v>
      </c>
      <c r="D93" t="s">
        <v>373</v>
      </c>
      <c r="E93" t="s">
        <v>374</v>
      </c>
      <c r="F93" t="s">
        <v>375</v>
      </c>
    </row>
    <row r="94" spans="1:6" x14ac:dyDescent="0.2">
      <c r="A94">
        <v>22205089</v>
      </c>
      <c r="B94">
        <v>2013</v>
      </c>
      <c r="C94">
        <v>34.263959390862901</v>
      </c>
      <c r="D94" t="s">
        <v>373</v>
      </c>
      <c r="E94" t="s">
        <v>374</v>
      </c>
      <c r="F94" t="s">
        <v>375</v>
      </c>
    </row>
    <row r="95" spans="1:6" x14ac:dyDescent="0.2">
      <c r="A95">
        <v>50747687</v>
      </c>
      <c r="B95">
        <v>2019</v>
      </c>
      <c r="C95">
        <v>42.348534031804299</v>
      </c>
      <c r="D95" t="s">
        <v>554</v>
      </c>
      <c r="E95" t="s">
        <v>511</v>
      </c>
      <c r="F95" t="s">
        <v>191</v>
      </c>
    </row>
    <row r="96" spans="1:6" x14ac:dyDescent="0.2">
      <c r="A96">
        <v>50747687</v>
      </c>
      <c r="B96">
        <v>2018</v>
      </c>
      <c r="C96">
        <v>38.914191547614401</v>
      </c>
      <c r="D96" t="s">
        <v>554</v>
      </c>
      <c r="E96" t="s">
        <v>511</v>
      </c>
      <c r="F96" t="s">
        <v>191</v>
      </c>
    </row>
    <row r="97" spans="1:6" x14ac:dyDescent="0.2">
      <c r="A97">
        <v>50747687</v>
      </c>
      <c r="B97">
        <v>2017</v>
      </c>
      <c r="C97">
        <v>47.270736925909297</v>
      </c>
      <c r="D97" t="s">
        <v>554</v>
      </c>
      <c r="E97" t="s">
        <v>511</v>
      </c>
      <c r="F97" t="s">
        <v>191</v>
      </c>
    </row>
    <row r="98" spans="1:6" x14ac:dyDescent="0.2">
      <c r="A98">
        <v>50747687</v>
      </c>
      <c r="B98">
        <v>2016</v>
      </c>
      <c r="C98">
        <v>35.569682521663402</v>
      </c>
      <c r="D98" t="s">
        <v>554</v>
      </c>
      <c r="E98" t="s">
        <v>511</v>
      </c>
      <c r="F98" t="s">
        <v>191</v>
      </c>
    </row>
    <row r="99" spans="1:6" x14ac:dyDescent="0.2">
      <c r="A99">
        <v>50747687</v>
      </c>
      <c r="B99">
        <v>2015</v>
      </c>
      <c r="C99">
        <v>37.158469945355201</v>
      </c>
      <c r="D99" t="s">
        <v>554</v>
      </c>
      <c r="E99" t="s">
        <v>511</v>
      </c>
      <c r="F99" t="s">
        <v>191</v>
      </c>
    </row>
    <row r="100" spans="1:6" x14ac:dyDescent="0.2">
      <c r="A100">
        <v>50747687</v>
      </c>
      <c r="B100">
        <v>2014</v>
      </c>
      <c r="C100">
        <v>56.697056288837501</v>
      </c>
      <c r="D100" t="s">
        <v>554</v>
      </c>
      <c r="E100" t="s">
        <v>511</v>
      </c>
      <c r="F100" t="s">
        <v>191</v>
      </c>
    </row>
    <row r="101" spans="1:6" x14ac:dyDescent="0.2">
      <c r="A101">
        <v>50747687</v>
      </c>
      <c r="B101">
        <v>2013</v>
      </c>
      <c r="C101">
        <v>38.441558441558399</v>
      </c>
      <c r="D101" t="s">
        <v>554</v>
      </c>
      <c r="E101" t="s">
        <v>511</v>
      </c>
      <c r="F101" t="s">
        <v>191</v>
      </c>
    </row>
    <row r="102" spans="1:6" x14ac:dyDescent="0.2">
      <c r="A102">
        <v>50747687</v>
      </c>
      <c r="B102">
        <v>2012</v>
      </c>
      <c r="C102">
        <v>43.209876543209901</v>
      </c>
      <c r="D102" t="s">
        <v>554</v>
      </c>
      <c r="E102" t="s">
        <v>511</v>
      </c>
      <c r="F102" t="s">
        <v>191</v>
      </c>
    </row>
    <row r="103" spans="1:6" x14ac:dyDescent="0.2">
      <c r="A103">
        <v>80884285</v>
      </c>
      <c r="B103">
        <v>2015</v>
      </c>
      <c r="C103">
        <v>54.997500000000002</v>
      </c>
      <c r="D103" t="s">
        <v>943</v>
      </c>
      <c r="E103" t="s">
        <v>156</v>
      </c>
      <c r="F103" t="s">
        <v>1126</v>
      </c>
    </row>
    <row r="104" spans="1:6" x14ac:dyDescent="0.2">
      <c r="A104">
        <v>16676442</v>
      </c>
      <c r="B104">
        <v>2020</v>
      </c>
      <c r="C104">
        <v>11.3361705814924</v>
      </c>
      <c r="D104" t="s">
        <v>695</v>
      </c>
      <c r="E104"/>
      <c r="F104" t="s">
        <v>696</v>
      </c>
    </row>
    <row r="105" spans="1:6" x14ac:dyDescent="0.2">
      <c r="A105">
        <v>16676442</v>
      </c>
      <c r="B105">
        <v>2019</v>
      </c>
      <c r="C105">
        <v>11.547560681657499</v>
      </c>
      <c r="D105" t="s">
        <v>695</v>
      </c>
      <c r="E105"/>
      <c r="F105" t="s">
        <v>696</v>
      </c>
    </row>
    <row r="106" spans="1:6" x14ac:dyDescent="0.2">
      <c r="A106">
        <v>16676442</v>
      </c>
      <c r="B106">
        <v>2018</v>
      </c>
      <c r="C106">
        <v>12.465708072237801</v>
      </c>
      <c r="D106" t="s">
        <v>695</v>
      </c>
      <c r="E106"/>
      <c r="F106" t="s">
        <v>696</v>
      </c>
    </row>
    <row r="107" spans="1:6" x14ac:dyDescent="0.2">
      <c r="A107">
        <v>16676442</v>
      </c>
      <c r="B107">
        <v>2017</v>
      </c>
      <c r="C107">
        <v>12.307651089860499</v>
      </c>
      <c r="D107" t="s">
        <v>695</v>
      </c>
      <c r="E107"/>
      <c r="F107" t="s">
        <v>696</v>
      </c>
    </row>
    <row r="108" spans="1:6" x14ac:dyDescent="0.2">
      <c r="A108">
        <v>16676442</v>
      </c>
      <c r="B108">
        <v>2016</v>
      </c>
      <c r="C108">
        <v>11.9004831835981</v>
      </c>
      <c r="D108" t="s">
        <v>695</v>
      </c>
      <c r="E108"/>
      <c r="F108" t="s">
        <v>696</v>
      </c>
    </row>
    <row r="109" spans="1:6" x14ac:dyDescent="0.2">
      <c r="A109">
        <v>16676442</v>
      </c>
      <c r="B109">
        <v>2015</v>
      </c>
      <c r="C109">
        <v>21.087857172727301</v>
      </c>
      <c r="D109" t="s">
        <v>695</v>
      </c>
      <c r="E109"/>
      <c r="F109" t="s">
        <v>696</v>
      </c>
    </row>
    <row r="110" spans="1:6" x14ac:dyDescent="0.2">
      <c r="A110">
        <v>16676442</v>
      </c>
      <c r="B110">
        <v>2014</v>
      </c>
      <c r="C110">
        <v>21.692750498193998</v>
      </c>
      <c r="D110" t="s">
        <v>695</v>
      </c>
      <c r="E110"/>
      <c r="F110" t="s">
        <v>696</v>
      </c>
    </row>
    <row r="111" spans="1:6" x14ac:dyDescent="0.2">
      <c r="A111">
        <v>16676442</v>
      </c>
      <c r="B111">
        <v>2013</v>
      </c>
      <c r="C111">
        <v>27.827346004160201</v>
      </c>
      <c r="D111" t="s">
        <v>695</v>
      </c>
      <c r="E111"/>
      <c r="F111" t="s">
        <v>696</v>
      </c>
    </row>
    <row r="112" spans="1:6" x14ac:dyDescent="0.2">
      <c r="A112">
        <v>16676442</v>
      </c>
      <c r="B112">
        <v>2012</v>
      </c>
      <c r="C112">
        <v>32.250252429635196</v>
      </c>
      <c r="D112" t="s">
        <v>695</v>
      </c>
      <c r="E112"/>
      <c r="F112" t="s">
        <v>696</v>
      </c>
    </row>
    <row r="113" spans="1:6" x14ac:dyDescent="0.2">
      <c r="A113">
        <v>64401351</v>
      </c>
      <c r="B113">
        <v>2019</v>
      </c>
      <c r="C113">
        <v>64.5</v>
      </c>
      <c r="D113" t="s">
        <v>1099</v>
      </c>
      <c r="E113" t="s">
        <v>127</v>
      </c>
      <c r="F113" t="s">
        <v>1126</v>
      </c>
    </row>
    <row r="114" spans="1:6" x14ac:dyDescent="0.2">
      <c r="A114">
        <v>36863267</v>
      </c>
      <c r="B114">
        <v>2019</v>
      </c>
      <c r="C114">
        <v>46</v>
      </c>
      <c r="D114" t="s">
        <v>845</v>
      </c>
      <c r="E114" t="s">
        <v>123</v>
      </c>
      <c r="F114" t="s">
        <v>1126</v>
      </c>
    </row>
    <row r="115" spans="1:6" x14ac:dyDescent="0.2">
      <c r="A115">
        <v>11639411</v>
      </c>
      <c r="B115">
        <v>2020</v>
      </c>
      <c r="C115">
        <v>44.614356766387097</v>
      </c>
      <c r="D115" t="s">
        <v>400</v>
      </c>
      <c r="E115" t="s">
        <v>401</v>
      </c>
      <c r="F115" t="s">
        <v>402</v>
      </c>
    </row>
    <row r="116" spans="1:6" x14ac:dyDescent="0.2">
      <c r="A116">
        <v>11639411</v>
      </c>
      <c r="B116">
        <v>2019</v>
      </c>
      <c r="C116">
        <v>43.1666619064477</v>
      </c>
      <c r="D116" t="s">
        <v>400</v>
      </c>
      <c r="E116" t="s">
        <v>401</v>
      </c>
      <c r="F116" t="s">
        <v>402</v>
      </c>
    </row>
    <row r="117" spans="1:6" x14ac:dyDescent="0.2">
      <c r="A117">
        <v>11639411</v>
      </c>
      <c r="B117">
        <v>2018</v>
      </c>
      <c r="C117">
        <v>45.393042735548697</v>
      </c>
      <c r="D117" t="s">
        <v>400</v>
      </c>
      <c r="E117" t="s">
        <v>401</v>
      </c>
      <c r="F117" t="s">
        <v>402</v>
      </c>
    </row>
    <row r="118" spans="1:6" x14ac:dyDescent="0.2">
      <c r="A118">
        <v>11639411</v>
      </c>
      <c r="B118">
        <v>2017</v>
      </c>
      <c r="C118">
        <v>50.213524801726997</v>
      </c>
      <c r="D118" t="s">
        <v>400</v>
      </c>
      <c r="E118" t="s">
        <v>401</v>
      </c>
      <c r="F118" t="s">
        <v>402</v>
      </c>
    </row>
    <row r="119" spans="1:6" x14ac:dyDescent="0.2">
      <c r="A119">
        <v>11639411</v>
      </c>
      <c r="B119">
        <v>2016</v>
      </c>
      <c r="C119">
        <v>41.221417002442102</v>
      </c>
      <c r="D119" t="s">
        <v>400</v>
      </c>
      <c r="E119" t="s">
        <v>401</v>
      </c>
      <c r="F119" t="s">
        <v>402</v>
      </c>
    </row>
    <row r="120" spans="1:6" x14ac:dyDescent="0.2">
      <c r="A120">
        <v>11639411</v>
      </c>
      <c r="B120">
        <v>2015</v>
      </c>
      <c r="C120">
        <v>38.772821381516998</v>
      </c>
      <c r="D120" t="s">
        <v>400</v>
      </c>
      <c r="E120" t="s">
        <v>401</v>
      </c>
      <c r="F120" t="s">
        <v>402</v>
      </c>
    </row>
    <row r="121" spans="1:6" x14ac:dyDescent="0.2">
      <c r="A121">
        <v>11639411</v>
      </c>
      <c r="B121">
        <v>2014</v>
      </c>
      <c r="C121">
        <v>42.615353616764097</v>
      </c>
      <c r="D121" t="s">
        <v>400</v>
      </c>
      <c r="E121" t="s">
        <v>401</v>
      </c>
      <c r="F121" t="s">
        <v>402</v>
      </c>
    </row>
    <row r="122" spans="1:6" x14ac:dyDescent="0.2">
      <c r="A122">
        <v>11639411</v>
      </c>
      <c r="B122">
        <v>2013</v>
      </c>
      <c r="C122">
        <v>44.953051643192502</v>
      </c>
      <c r="D122" t="s">
        <v>400</v>
      </c>
      <c r="E122" t="s">
        <v>401</v>
      </c>
      <c r="F122" t="s">
        <v>402</v>
      </c>
    </row>
    <row r="123" spans="1:6" x14ac:dyDescent="0.2">
      <c r="A123">
        <v>11639411</v>
      </c>
      <c r="B123">
        <v>2012</v>
      </c>
      <c r="C123">
        <v>43.147345612134302</v>
      </c>
      <c r="D123" t="s">
        <v>400</v>
      </c>
      <c r="E123" t="s">
        <v>401</v>
      </c>
      <c r="F123" t="s">
        <v>402</v>
      </c>
    </row>
    <row r="124" spans="1:6" x14ac:dyDescent="0.2">
      <c r="A124">
        <v>11639411</v>
      </c>
      <c r="B124">
        <v>2011</v>
      </c>
      <c r="C124">
        <v>47.5</v>
      </c>
      <c r="D124" t="s">
        <v>400</v>
      </c>
      <c r="E124" t="s">
        <v>401</v>
      </c>
      <c r="F124" t="s">
        <v>402</v>
      </c>
    </row>
    <row r="125" spans="1:6" x14ac:dyDescent="0.2">
      <c r="A125">
        <v>11639411</v>
      </c>
      <c r="B125">
        <v>2010</v>
      </c>
      <c r="C125">
        <v>63.175806000000001</v>
      </c>
      <c r="D125" t="s">
        <v>400</v>
      </c>
      <c r="E125" t="s">
        <v>401</v>
      </c>
      <c r="F125" t="s">
        <v>402</v>
      </c>
    </row>
    <row r="126" spans="1:6" x14ac:dyDescent="0.2">
      <c r="A126">
        <v>24527065</v>
      </c>
      <c r="B126">
        <v>2018</v>
      </c>
      <c r="C126">
        <v>20.818617792483</v>
      </c>
      <c r="D126" t="s">
        <v>810</v>
      </c>
      <c r="E126" t="s">
        <v>547</v>
      </c>
      <c r="F126" t="s">
        <v>137</v>
      </c>
    </row>
    <row r="127" spans="1:6" x14ac:dyDescent="0.2">
      <c r="A127">
        <v>40551497</v>
      </c>
      <c r="B127">
        <v>2019</v>
      </c>
      <c r="C127">
        <v>67.5</v>
      </c>
      <c r="D127" t="s">
        <v>829</v>
      </c>
      <c r="E127" t="s">
        <v>5</v>
      </c>
      <c r="F127" t="s">
        <v>1126</v>
      </c>
    </row>
    <row r="128" spans="1:6" x14ac:dyDescent="0.2">
      <c r="A128">
        <v>40551497</v>
      </c>
      <c r="B128">
        <v>2017</v>
      </c>
      <c r="C128">
        <v>78</v>
      </c>
      <c r="D128" t="s">
        <v>829</v>
      </c>
      <c r="E128" t="s">
        <v>5</v>
      </c>
      <c r="F128" t="s">
        <v>1126</v>
      </c>
    </row>
    <row r="129" spans="1:6" x14ac:dyDescent="0.2">
      <c r="A129">
        <v>40551497</v>
      </c>
      <c r="B129">
        <v>2015</v>
      </c>
      <c r="C129">
        <v>54.997500000000002</v>
      </c>
      <c r="D129" t="s">
        <v>829</v>
      </c>
      <c r="E129" t="s">
        <v>5</v>
      </c>
      <c r="F129" t="s">
        <v>1126</v>
      </c>
    </row>
    <row r="130" spans="1:6" x14ac:dyDescent="0.2">
      <c r="A130">
        <v>36333877</v>
      </c>
      <c r="B130">
        <v>2017</v>
      </c>
      <c r="C130">
        <v>100</v>
      </c>
      <c r="D130" t="s">
        <v>733</v>
      </c>
      <c r="E130" t="s">
        <v>734</v>
      </c>
      <c r="F130" t="s">
        <v>1126</v>
      </c>
    </row>
    <row r="131" spans="1:6" x14ac:dyDescent="0.2">
      <c r="A131">
        <v>36333877</v>
      </c>
      <c r="B131">
        <v>2015</v>
      </c>
      <c r="C131">
        <v>83.3333333333333</v>
      </c>
      <c r="D131" t="s">
        <v>733</v>
      </c>
      <c r="E131" t="s">
        <v>734</v>
      </c>
      <c r="F131" t="s">
        <v>1126</v>
      </c>
    </row>
    <row r="132" spans="1:6" x14ac:dyDescent="0.2">
      <c r="A132">
        <v>36333877</v>
      </c>
      <c r="B132">
        <v>2013</v>
      </c>
      <c r="C132">
        <v>78.5</v>
      </c>
      <c r="D132" t="s">
        <v>733</v>
      </c>
      <c r="E132" t="s">
        <v>734</v>
      </c>
      <c r="F132" t="s">
        <v>1126</v>
      </c>
    </row>
    <row r="133" spans="1:6" x14ac:dyDescent="0.2">
      <c r="A133">
        <v>98159532</v>
      </c>
      <c r="B133">
        <v>2020</v>
      </c>
      <c r="C133">
        <v>15.476192981252799</v>
      </c>
      <c r="D133" t="s">
        <v>386</v>
      </c>
      <c r="E133" t="s">
        <v>387</v>
      </c>
      <c r="F133" t="s">
        <v>388</v>
      </c>
    </row>
    <row r="134" spans="1:6" x14ac:dyDescent="0.2">
      <c r="A134">
        <v>98159532</v>
      </c>
      <c r="B134">
        <v>2019</v>
      </c>
      <c r="C134">
        <v>16.2607302828978</v>
      </c>
      <c r="D134" t="s">
        <v>386</v>
      </c>
      <c r="E134" t="s">
        <v>387</v>
      </c>
      <c r="F134" t="s">
        <v>388</v>
      </c>
    </row>
    <row r="135" spans="1:6" x14ac:dyDescent="0.2">
      <c r="A135">
        <v>98159532</v>
      </c>
      <c r="B135">
        <v>2018</v>
      </c>
      <c r="C135">
        <v>18.617872395757601</v>
      </c>
      <c r="D135" t="s">
        <v>386</v>
      </c>
      <c r="E135" t="s">
        <v>387</v>
      </c>
      <c r="F135" t="s">
        <v>388</v>
      </c>
    </row>
    <row r="136" spans="1:6" x14ac:dyDescent="0.2">
      <c r="A136">
        <v>98159532</v>
      </c>
      <c r="B136">
        <v>2017</v>
      </c>
      <c r="C136">
        <v>19.1160705572848</v>
      </c>
      <c r="D136" t="s">
        <v>386</v>
      </c>
      <c r="E136" t="s">
        <v>387</v>
      </c>
      <c r="F136" t="s">
        <v>388</v>
      </c>
    </row>
    <row r="137" spans="1:6" x14ac:dyDescent="0.2">
      <c r="A137">
        <v>98159532</v>
      </c>
      <c r="B137">
        <v>2016</v>
      </c>
      <c r="C137">
        <v>18.955065218640499</v>
      </c>
      <c r="D137" t="s">
        <v>386</v>
      </c>
      <c r="E137" t="s">
        <v>387</v>
      </c>
      <c r="F137" t="s">
        <v>388</v>
      </c>
    </row>
    <row r="138" spans="1:6" x14ac:dyDescent="0.2">
      <c r="A138">
        <v>98159532</v>
      </c>
      <c r="B138">
        <v>2015</v>
      </c>
      <c r="C138">
        <v>19.352224457858298</v>
      </c>
      <c r="D138" t="s">
        <v>386</v>
      </c>
      <c r="E138" t="s">
        <v>387</v>
      </c>
      <c r="F138" t="s">
        <v>388</v>
      </c>
    </row>
    <row r="139" spans="1:6" x14ac:dyDescent="0.2">
      <c r="A139">
        <v>98159532</v>
      </c>
      <c r="B139">
        <v>2014</v>
      </c>
      <c r="C139">
        <v>26.884026884026898</v>
      </c>
      <c r="D139" t="s">
        <v>386</v>
      </c>
      <c r="E139" t="s">
        <v>387</v>
      </c>
      <c r="F139" t="s">
        <v>388</v>
      </c>
    </row>
    <row r="140" spans="1:6" x14ac:dyDescent="0.2">
      <c r="A140">
        <v>98159532</v>
      </c>
      <c r="B140">
        <v>2013</v>
      </c>
      <c r="C140">
        <v>28.439153439153401</v>
      </c>
      <c r="D140" t="s">
        <v>386</v>
      </c>
      <c r="E140" t="s">
        <v>387</v>
      </c>
      <c r="F140" t="s">
        <v>388</v>
      </c>
    </row>
    <row r="141" spans="1:6" x14ac:dyDescent="0.2">
      <c r="A141">
        <v>98159532</v>
      </c>
      <c r="B141">
        <v>2012</v>
      </c>
      <c r="C141">
        <v>28.665165479681601</v>
      </c>
      <c r="D141" t="s">
        <v>386</v>
      </c>
      <c r="E141" t="s">
        <v>387</v>
      </c>
      <c r="F141" t="s">
        <v>388</v>
      </c>
    </row>
    <row r="142" spans="1:6" x14ac:dyDescent="0.2">
      <c r="A142">
        <v>98159532</v>
      </c>
      <c r="B142">
        <v>2011</v>
      </c>
      <c r="C142">
        <v>30.943914169441399</v>
      </c>
      <c r="D142" t="s">
        <v>386</v>
      </c>
      <c r="E142" t="s">
        <v>387</v>
      </c>
      <c r="F142" t="s">
        <v>388</v>
      </c>
    </row>
    <row r="143" spans="1:6" x14ac:dyDescent="0.2">
      <c r="A143">
        <v>23906549</v>
      </c>
      <c r="B143">
        <v>2020</v>
      </c>
      <c r="C143">
        <v>64.284285714285701</v>
      </c>
      <c r="D143" t="s">
        <v>1065</v>
      </c>
      <c r="E143" t="s">
        <v>557</v>
      </c>
      <c r="F143" t="s">
        <v>1126</v>
      </c>
    </row>
    <row r="144" spans="1:6" x14ac:dyDescent="0.2">
      <c r="A144">
        <v>23906549</v>
      </c>
      <c r="B144">
        <v>2019</v>
      </c>
      <c r="C144">
        <v>69.915000000000006</v>
      </c>
      <c r="D144" t="s">
        <v>1065</v>
      </c>
      <c r="E144" t="s">
        <v>557</v>
      </c>
      <c r="F144" t="s">
        <v>1126</v>
      </c>
    </row>
    <row r="145" spans="1:6" x14ac:dyDescent="0.2">
      <c r="A145">
        <v>23906549</v>
      </c>
      <c r="B145">
        <v>2018</v>
      </c>
      <c r="C145">
        <v>63.194000000000003</v>
      </c>
      <c r="D145" t="s">
        <v>1065</v>
      </c>
      <c r="E145" t="s">
        <v>557</v>
      </c>
      <c r="F145" t="s">
        <v>1126</v>
      </c>
    </row>
    <row r="146" spans="1:6" x14ac:dyDescent="0.2">
      <c r="A146">
        <v>23906549</v>
      </c>
      <c r="B146">
        <v>2017</v>
      </c>
      <c r="C146">
        <v>58.428571428571402</v>
      </c>
      <c r="D146" t="s">
        <v>1065</v>
      </c>
      <c r="E146" t="s">
        <v>557</v>
      </c>
      <c r="F146" t="s">
        <v>1126</v>
      </c>
    </row>
    <row r="147" spans="1:6" x14ac:dyDescent="0.2">
      <c r="A147">
        <v>23906549</v>
      </c>
      <c r="B147">
        <v>2016</v>
      </c>
      <c r="C147">
        <v>50</v>
      </c>
      <c r="D147" t="s">
        <v>1065</v>
      </c>
      <c r="E147" t="s">
        <v>557</v>
      </c>
      <c r="F147" t="s">
        <v>1126</v>
      </c>
    </row>
    <row r="148" spans="1:6" x14ac:dyDescent="0.2">
      <c r="A148">
        <v>23906549</v>
      </c>
      <c r="B148">
        <v>2015</v>
      </c>
      <c r="C148">
        <v>41.99</v>
      </c>
      <c r="D148" t="s">
        <v>1065</v>
      </c>
      <c r="E148" t="s">
        <v>557</v>
      </c>
      <c r="F148" t="s">
        <v>1126</v>
      </c>
    </row>
    <row r="149" spans="1:6" x14ac:dyDescent="0.2">
      <c r="A149">
        <v>23906549</v>
      </c>
      <c r="B149">
        <v>2014</v>
      </c>
      <c r="C149">
        <v>50.83</v>
      </c>
      <c r="D149" t="s">
        <v>1065</v>
      </c>
      <c r="E149" t="s">
        <v>557</v>
      </c>
      <c r="F149" t="s">
        <v>1126</v>
      </c>
    </row>
    <row r="150" spans="1:6" x14ac:dyDescent="0.2">
      <c r="A150">
        <v>64530459</v>
      </c>
      <c r="B150">
        <v>2020</v>
      </c>
      <c r="C150">
        <v>15.0292867451706</v>
      </c>
      <c r="D150" t="s">
        <v>476</v>
      </c>
      <c r="E150" t="s">
        <v>477</v>
      </c>
      <c r="F150" t="s">
        <v>388</v>
      </c>
    </row>
    <row r="151" spans="1:6" x14ac:dyDescent="0.2">
      <c r="A151">
        <v>64530459</v>
      </c>
      <c r="B151">
        <v>2019</v>
      </c>
      <c r="C151">
        <v>14.725903840875301</v>
      </c>
      <c r="D151" t="s">
        <v>476</v>
      </c>
      <c r="E151" t="s">
        <v>477</v>
      </c>
      <c r="F151" t="s">
        <v>388</v>
      </c>
    </row>
    <row r="152" spans="1:6" x14ac:dyDescent="0.2">
      <c r="A152">
        <v>64530459</v>
      </c>
      <c r="B152">
        <v>2018</v>
      </c>
      <c r="C152">
        <v>17.078931247842402</v>
      </c>
      <c r="D152" t="s">
        <v>476</v>
      </c>
      <c r="E152" t="s">
        <v>477</v>
      </c>
      <c r="F152" t="s">
        <v>388</v>
      </c>
    </row>
    <row r="153" spans="1:6" x14ac:dyDescent="0.2">
      <c r="A153">
        <v>64530459</v>
      </c>
      <c r="B153">
        <v>2017</v>
      </c>
      <c r="C153">
        <v>17.505890307937101</v>
      </c>
      <c r="D153" t="s">
        <v>476</v>
      </c>
      <c r="E153" t="s">
        <v>477</v>
      </c>
      <c r="F153" t="s">
        <v>388</v>
      </c>
    </row>
    <row r="154" spans="1:6" x14ac:dyDescent="0.2">
      <c r="A154">
        <v>64530459</v>
      </c>
      <c r="B154">
        <v>2016</v>
      </c>
      <c r="C154">
        <v>19.4794001034304</v>
      </c>
      <c r="D154" t="s">
        <v>476</v>
      </c>
      <c r="E154" t="s">
        <v>477</v>
      </c>
      <c r="F154" t="s">
        <v>388</v>
      </c>
    </row>
    <row r="155" spans="1:6" x14ac:dyDescent="0.2">
      <c r="A155">
        <v>64530459</v>
      </c>
      <c r="B155">
        <v>2015</v>
      </c>
      <c r="C155">
        <v>19.085845036549301</v>
      </c>
      <c r="D155" t="s">
        <v>476</v>
      </c>
      <c r="E155" t="s">
        <v>477</v>
      </c>
      <c r="F155" t="s">
        <v>388</v>
      </c>
    </row>
    <row r="156" spans="1:6" x14ac:dyDescent="0.2">
      <c r="A156">
        <v>64530459</v>
      </c>
      <c r="B156">
        <v>2014</v>
      </c>
      <c r="C156">
        <v>23.0389119278008</v>
      </c>
      <c r="D156" t="s">
        <v>476</v>
      </c>
      <c r="E156" t="s">
        <v>477</v>
      </c>
      <c r="F156" t="s">
        <v>388</v>
      </c>
    </row>
    <row r="157" spans="1:6" x14ac:dyDescent="0.2">
      <c r="A157">
        <v>33935954</v>
      </c>
      <c r="B157">
        <v>2019</v>
      </c>
      <c r="C157">
        <v>24.439021842142601</v>
      </c>
      <c r="D157" t="s">
        <v>910</v>
      </c>
      <c r="E157"/>
      <c r="F157" t="s">
        <v>28</v>
      </c>
    </row>
    <row r="158" spans="1:6" x14ac:dyDescent="0.2">
      <c r="A158">
        <v>29184018</v>
      </c>
      <c r="B158">
        <v>2020</v>
      </c>
      <c r="C158">
        <v>54.136225274835397</v>
      </c>
      <c r="D158" t="s">
        <v>1115</v>
      </c>
      <c r="E158" t="s">
        <v>148</v>
      </c>
      <c r="F158" t="s">
        <v>39</v>
      </c>
    </row>
    <row r="159" spans="1:6" x14ac:dyDescent="0.2">
      <c r="A159">
        <v>29184018</v>
      </c>
      <c r="B159">
        <v>2019</v>
      </c>
      <c r="C159">
        <v>53.231050119272403</v>
      </c>
      <c r="D159" t="s">
        <v>1115</v>
      </c>
      <c r="E159" t="s">
        <v>148</v>
      </c>
      <c r="F159" t="s">
        <v>39</v>
      </c>
    </row>
    <row r="160" spans="1:6" x14ac:dyDescent="0.2">
      <c r="A160">
        <v>29184018</v>
      </c>
      <c r="B160">
        <v>2018</v>
      </c>
      <c r="C160">
        <v>55.9383393670443</v>
      </c>
      <c r="D160" t="s">
        <v>1115</v>
      </c>
      <c r="E160" t="s">
        <v>148</v>
      </c>
      <c r="F160" t="s">
        <v>39</v>
      </c>
    </row>
    <row r="161" spans="1:6" x14ac:dyDescent="0.2">
      <c r="A161">
        <v>29184018</v>
      </c>
      <c r="B161">
        <v>2017</v>
      </c>
      <c r="C161">
        <v>44.223018360949403</v>
      </c>
      <c r="D161" t="s">
        <v>1115</v>
      </c>
      <c r="E161" t="s">
        <v>148</v>
      </c>
      <c r="F161" t="s">
        <v>39</v>
      </c>
    </row>
    <row r="162" spans="1:6" x14ac:dyDescent="0.2">
      <c r="A162">
        <v>29184018</v>
      </c>
      <c r="B162">
        <v>2016</v>
      </c>
      <c r="C162">
        <v>47.451470087410598</v>
      </c>
      <c r="D162" t="s">
        <v>1115</v>
      </c>
      <c r="E162" t="s">
        <v>148</v>
      </c>
      <c r="F162" t="s">
        <v>39</v>
      </c>
    </row>
    <row r="163" spans="1:6" x14ac:dyDescent="0.2">
      <c r="A163">
        <v>29184018</v>
      </c>
      <c r="B163">
        <v>2015</v>
      </c>
      <c r="C163">
        <v>49.836065573770497</v>
      </c>
      <c r="D163" t="s">
        <v>1115</v>
      </c>
      <c r="E163" t="s">
        <v>148</v>
      </c>
      <c r="F163" t="s">
        <v>39</v>
      </c>
    </row>
    <row r="164" spans="1:6" x14ac:dyDescent="0.2">
      <c r="A164">
        <v>29184018</v>
      </c>
      <c r="B164">
        <v>2014</v>
      </c>
      <c r="C164">
        <v>46.262076472989499</v>
      </c>
      <c r="D164" t="s">
        <v>1115</v>
      </c>
      <c r="E164" t="s">
        <v>148</v>
      </c>
      <c r="F164" t="s">
        <v>39</v>
      </c>
    </row>
    <row r="165" spans="1:6" x14ac:dyDescent="0.2">
      <c r="A165">
        <v>29184018</v>
      </c>
      <c r="B165">
        <v>2013</v>
      </c>
      <c r="C165">
        <v>32.207792207792203</v>
      </c>
      <c r="D165" t="s">
        <v>1115</v>
      </c>
      <c r="E165" t="s">
        <v>148</v>
      </c>
      <c r="F165" t="s">
        <v>39</v>
      </c>
    </row>
    <row r="166" spans="1:6" x14ac:dyDescent="0.2">
      <c r="A166">
        <v>29184018</v>
      </c>
      <c r="B166">
        <v>2012</v>
      </c>
      <c r="C166">
        <v>61.728395061728399</v>
      </c>
      <c r="D166" t="s">
        <v>1115</v>
      </c>
      <c r="E166" t="s">
        <v>148</v>
      </c>
      <c r="F166" t="s">
        <v>39</v>
      </c>
    </row>
    <row r="167" spans="1:6" x14ac:dyDescent="0.2">
      <c r="A167">
        <v>29184018</v>
      </c>
      <c r="B167">
        <v>2011</v>
      </c>
      <c r="C167">
        <v>62.801932367149803</v>
      </c>
      <c r="D167" t="s">
        <v>1115</v>
      </c>
      <c r="E167" t="s">
        <v>148</v>
      </c>
      <c r="F167" t="s">
        <v>39</v>
      </c>
    </row>
    <row r="168" spans="1:6" x14ac:dyDescent="0.2">
      <c r="A168">
        <v>64863575</v>
      </c>
      <c r="B168">
        <v>2019</v>
      </c>
      <c r="C168">
        <v>8.7384348495234807</v>
      </c>
      <c r="D168" t="s">
        <v>994</v>
      </c>
      <c r="E168" t="s">
        <v>995</v>
      </c>
      <c r="F168" t="s">
        <v>600</v>
      </c>
    </row>
    <row r="169" spans="1:6" x14ac:dyDescent="0.2">
      <c r="A169">
        <v>64863575</v>
      </c>
      <c r="B169">
        <v>2018</v>
      </c>
      <c r="C169">
        <v>9.6648373993125301</v>
      </c>
      <c r="D169" t="s">
        <v>994</v>
      </c>
      <c r="E169" t="s">
        <v>995</v>
      </c>
      <c r="F169" t="s">
        <v>600</v>
      </c>
    </row>
    <row r="170" spans="1:6" x14ac:dyDescent="0.2">
      <c r="A170">
        <v>64863575</v>
      </c>
      <c r="B170">
        <v>2016</v>
      </c>
      <c r="C170">
        <v>11.032189814115201</v>
      </c>
      <c r="D170" t="s">
        <v>994</v>
      </c>
      <c r="E170" t="s">
        <v>995</v>
      </c>
      <c r="F170" t="s">
        <v>600</v>
      </c>
    </row>
    <row r="171" spans="1:6" x14ac:dyDescent="0.2">
      <c r="A171">
        <v>64863575</v>
      </c>
      <c r="B171">
        <v>2015</v>
      </c>
      <c r="C171">
        <v>7.7692818331571303</v>
      </c>
      <c r="D171" t="s">
        <v>994</v>
      </c>
      <c r="E171" t="s">
        <v>995</v>
      </c>
      <c r="F171" t="s">
        <v>600</v>
      </c>
    </row>
    <row r="172" spans="1:6" x14ac:dyDescent="0.2">
      <c r="A172">
        <v>14890626</v>
      </c>
      <c r="B172">
        <v>2020</v>
      </c>
      <c r="C172">
        <v>58.875</v>
      </c>
      <c r="D172" t="s">
        <v>1103</v>
      </c>
      <c r="E172" t="s">
        <v>25</v>
      </c>
      <c r="F172" t="s">
        <v>1126</v>
      </c>
    </row>
    <row r="173" spans="1:6" x14ac:dyDescent="0.2">
      <c r="A173">
        <v>14890626</v>
      </c>
      <c r="B173">
        <v>2019</v>
      </c>
      <c r="C173">
        <v>60.844999999999999</v>
      </c>
      <c r="D173" t="s">
        <v>1103</v>
      </c>
      <c r="E173" t="s">
        <v>25</v>
      </c>
      <c r="F173" t="s">
        <v>1126</v>
      </c>
    </row>
    <row r="174" spans="1:6" x14ac:dyDescent="0.2">
      <c r="A174">
        <v>14890626</v>
      </c>
      <c r="B174">
        <v>2018</v>
      </c>
      <c r="C174">
        <v>68</v>
      </c>
      <c r="D174" t="s">
        <v>1103</v>
      </c>
      <c r="E174" t="s">
        <v>25</v>
      </c>
      <c r="F174" t="s">
        <v>1126</v>
      </c>
    </row>
    <row r="175" spans="1:6" x14ac:dyDescent="0.2">
      <c r="A175">
        <v>14890626</v>
      </c>
      <c r="B175">
        <v>2017</v>
      </c>
      <c r="C175">
        <v>61</v>
      </c>
      <c r="D175" t="s">
        <v>1103</v>
      </c>
      <c r="E175" t="s">
        <v>25</v>
      </c>
      <c r="F175" t="s">
        <v>1126</v>
      </c>
    </row>
    <row r="176" spans="1:6" x14ac:dyDescent="0.2">
      <c r="A176">
        <v>14890626</v>
      </c>
      <c r="B176">
        <v>2016</v>
      </c>
      <c r="C176">
        <v>57.5</v>
      </c>
      <c r="D176" t="s">
        <v>1103</v>
      </c>
      <c r="E176" t="s">
        <v>25</v>
      </c>
      <c r="F176" t="s">
        <v>1126</v>
      </c>
    </row>
    <row r="177" spans="1:6" x14ac:dyDescent="0.2">
      <c r="A177">
        <v>37214820</v>
      </c>
      <c r="B177">
        <v>2016</v>
      </c>
      <c r="C177">
        <v>53.331666666666699</v>
      </c>
      <c r="D177" t="s">
        <v>1103</v>
      </c>
      <c r="E177" t="s">
        <v>836</v>
      </c>
      <c r="F177" t="s">
        <v>1126</v>
      </c>
    </row>
    <row r="178" spans="1:6" x14ac:dyDescent="0.2">
      <c r="A178">
        <v>99747858</v>
      </c>
      <c r="B178">
        <v>2020</v>
      </c>
      <c r="C178">
        <v>60</v>
      </c>
      <c r="D178" t="s">
        <v>1085</v>
      </c>
      <c r="E178" t="s">
        <v>581</v>
      </c>
      <c r="F178" t="s">
        <v>1126</v>
      </c>
    </row>
    <row r="179" spans="1:6" x14ac:dyDescent="0.2">
      <c r="A179">
        <v>99747858</v>
      </c>
      <c r="B179">
        <v>2019</v>
      </c>
      <c r="C179">
        <v>61.614615384615398</v>
      </c>
      <c r="D179" t="s">
        <v>1085</v>
      </c>
      <c r="E179" t="s">
        <v>581</v>
      </c>
      <c r="F179" t="s">
        <v>1126</v>
      </c>
    </row>
    <row r="180" spans="1:6" x14ac:dyDescent="0.2">
      <c r="A180">
        <v>99747858</v>
      </c>
      <c r="B180">
        <v>2018</v>
      </c>
      <c r="C180">
        <v>64.25</v>
      </c>
      <c r="D180" t="s">
        <v>1085</v>
      </c>
      <c r="E180" t="s">
        <v>581</v>
      </c>
      <c r="F180" t="s">
        <v>1126</v>
      </c>
    </row>
    <row r="181" spans="1:6" x14ac:dyDescent="0.2">
      <c r="A181">
        <v>99747858</v>
      </c>
      <c r="B181">
        <v>2017</v>
      </c>
      <c r="C181">
        <v>62.875</v>
      </c>
      <c r="D181" t="s">
        <v>1085</v>
      </c>
      <c r="E181" t="s">
        <v>581</v>
      </c>
      <c r="F181" t="s">
        <v>1126</v>
      </c>
    </row>
    <row r="182" spans="1:6" x14ac:dyDescent="0.2">
      <c r="A182">
        <v>99747858</v>
      </c>
      <c r="B182">
        <v>2016</v>
      </c>
      <c r="C182">
        <v>52.427142857142897</v>
      </c>
      <c r="D182" t="s">
        <v>1085</v>
      </c>
      <c r="E182" t="s">
        <v>581</v>
      </c>
      <c r="F182" t="s">
        <v>1126</v>
      </c>
    </row>
    <row r="183" spans="1:6" x14ac:dyDescent="0.2">
      <c r="A183">
        <v>99747858</v>
      </c>
      <c r="B183">
        <v>2015</v>
      </c>
      <c r="C183">
        <v>53.42</v>
      </c>
      <c r="D183" t="s">
        <v>1085</v>
      </c>
      <c r="E183" t="s">
        <v>581</v>
      </c>
      <c r="F183" t="s">
        <v>1126</v>
      </c>
    </row>
    <row r="184" spans="1:6" x14ac:dyDescent="0.2">
      <c r="A184">
        <v>99747858</v>
      </c>
      <c r="B184">
        <v>2014</v>
      </c>
      <c r="C184">
        <v>33.3333333333333</v>
      </c>
      <c r="D184" t="s">
        <v>1085</v>
      </c>
      <c r="E184" t="s">
        <v>581</v>
      </c>
      <c r="F184" t="s">
        <v>1126</v>
      </c>
    </row>
    <row r="185" spans="1:6" x14ac:dyDescent="0.2">
      <c r="A185">
        <v>83497641</v>
      </c>
      <c r="B185">
        <v>2020</v>
      </c>
      <c r="C185">
        <v>33.064335550854402</v>
      </c>
      <c r="D185" t="s">
        <v>331</v>
      </c>
      <c r="E185" t="s">
        <v>200</v>
      </c>
      <c r="F185" t="s">
        <v>332</v>
      </c>
    </row>
    <row r="186" spans="1:6" x14ac:dyDescent="0.2">
      <c r="A186">
        <v>83497641</v>
      </c>
      <c r="B186">
        <v>2019</v>
      </c>
      <c r="C186">
        <v>29.302861557341998</v>
      </c>
      <c r="D186" t="s">
        <v>331</v>
      </c>
      <c r="E186" t="s">
        <v>200</v>
      </c>
      <c r="F186" t="s">
        <v>332</v>
      </c>
    </row>
    <row r="187" spans="1:6" x14ac:dyDescent="0.2">
      <c r="A187">
        <v>83497641</v>
      </c>
      <c r="B187">
        <v>2018</v>
      </c>
      <c r="C187">
        <v>32.865484099066997</v>
      </c>
      <c r="D187" t="s">
        <v>331</v>
      </c>
      <c r="E187" t="s">
        <v>200</v>
      </c>
      <c r="F187" t="s">
        <v>332</v>
      </c>
    </row>
    <row r="188" spans="1:6" x14ac:dyDescent="0.2">
      <c r="A188">
        <v>83497641</v>
      </c>
      <c r="B188">
        <v>2017</v>
      </c>
      <c r="C188">
        <v>45.231441673832002</v>
      </c>
      <c r="D188" t="s">
        <v>331</v>
      </c>
      <c r="E188" t="s">
        <v>200</v>
      </c>
      <c r="F188" t="s">
        <v>332</v>
      </c>
    </row>
    <row r="189" spans="1:6" x14ac:dyDescent="0.2">
      <c r="A189">
        <v>83497641</v>
      </c>
      <c r="B189">
        <v>2016</v>
      </c>
      <c r="C189">
        <v>50.283143043527403</v>
      </c>
      <c r="D189" t="s">
        <v>331</v>
      </c>
      <c r="E189" t="s">
        <v>200</v>
      </c>
      <c r="F189" t="s">
        <v>332</v>
      </c>
    </row>
    <row r="190" spans="1:6" x14ac:dyDescent="0.2">
      <c r="A190">
        <v>55564686</v>
      </c>
      <c r="B190">
        <v>2020</v>
      </c>
      <c r="C190">
        <v>36.253705765620097</v>
      </c>
      <c r="D190" t="s">
        <v>196</v>
      </c>
      <c r="E190" t="s">
        <v>197</v>
      </c>
      <c r="F190" t="s">
        <v>198</v>
      </c>
    </row>
    <row r="191" spans="1:6" x14ac:dyDescent="0.2">
      <c r="A191">
        <v>55564686</v>
      </c>
      <c r="B191">
        <v>2019</v>
      </c>
      <c r="C191">
        <v>33.9973075509672</v>
      </c>
      <c r="D191" t="s">
        <v>196</v>
      </c>
      <c r="E191" t="s">
        <v>197</v>
      </c>
      <c r="F191" t="s">
        <v>198</v>
      </c>
    </row>
    <row r="192" spans="1:6" x14ac:dyDescent="0.2">
      <c r="A192">
        <v>55564686</v>
      </c>
      <c r="B192">
        <v>2018</v>
      </c>
      <c r="C192">
        <v>37.231264831801603</v>
      </c>
      <c r="D192" t="s">
        <v>196</v>
      </c>
      <c r="E192" t="s">
        <v>197</v>
      </c>
      <c r="F192" t="s">
        <v>198</v>
      </c>
    </row>
    <row r="193" spans="1:6" x14ac:dyDescent="0.2">
      <c r="A193">
        <v>55564686</v>
      </c>
      <c r="B193">
        <v>2017</v>
      </c>
      <c r="C193">
        <v>26.781360402050101</v>
      </c>
      <c r="D193" t="s">
        <v>196</v>
      </c>
      <c r="E193" t="s">
        <v>197</v>
      </c>
      <c r="F193" t="s">
        <v>198</v>
      </c>
    </row>
    <row r="194" spans="1:6" x14ac:dyDescent="0.2">
      <c r="A194">
        <v>55564686</v>
      </c>
      <c r="B194">
        <v>2016</v>
      </c>
      <c r="C194">
        <v>23.826785278141799</v>
      </c>
      <c r="D194" t="s">
        <v>196</v>
      </c>
      <c r="E194" t="s">
        <v>197</v>
      </c>
      <c r="F194" t="s">
        <v>198</v>
      </c>
    </row>
    <row r="195" spans="1:6" x14ac:dyDescent="0.2">
      <c r="A195">
        <v>55564686</v>
      </c>
      <c r="B195">
        <v>2015</v>
      </c>
      <c r="C195">
        <v>21.411271181762999</v>
      </c>
      <c r="D195" t="s">
        <v>196</v>
      </c>
      <c r="E195" t="s">
        <v>197</v>
      </c>
      <c r="F195" t="s">
        <v>198</v>
      </c>
    </row>
    <row r="196" spans="1:6" x14ac:dyDescent="0.2">
      <c r="A196">
        <v>55564686</v>
      </c>
      <c r="B196">
        <v>2014</v>
      </c>
      <c r="C196">
        <v>25.9991641233987</v>
      </c>
      <c r="D196" t="s">
        <v>196</v>
      </c>
      <c r="E196" t="s">
        <v>197</v>
      </c>
      <c r="F196" t="s">
        <v>198</v>
      </c>
    </row>
    <row r="197" spans="1:6" x14ac:dyDescent="0.2">
      <c r="A197">
        <v>55564686</v>
      </c>
      <c r="B197">
        <v>2013</v>
      </c>
      <c r="C197">
        <v>24.887445887445899</v>
      </c>
      <c r="D197" t="s">
        <v>196</v>
      </c>
      <c r="E197" t="s">
        <v>197</v>
      </c>
      <c r="F197" t="s">
        <v>198</v>
      </c>
    </row>
    <row r="198" spans="1:6" x14ac:dyDescent="0.2">
      <c r="A198">
        <v>55564686</v>
      </c>
      <c r="B198">
        <v>2012</v>
      </c>
      <c r="C198">
        <v>25.585484474373398</v>
      </c>
      <c r="D198" t="s">
        <v>196</v>
      </c>
      <c r="E198" t="s">
        <v>197</v>
      </c>
      <c r="F198" t="s">
        <v>198</v>
      </c>
    </row>
    <row r="199" spans="1:6" x14ac:dyDescent="0.2">
      <c r="A199">
        <v>55564686</v>
      </c>
      <c r="B199">
        <v>2011</v>
      </c>
      <c r="C199">
        <v>31.553945249597401</v>
      </c>
      <c r="D199" t="s">
        <v>196</v>
      </c>
      <c r="E199" t="s">
        <v>197</v>
      </c>
      <c r="F199" t="s">
        <v>198</v>
      </c>
    </row>
    <row r="200" spans="1:6" x14ac:dyDescent="0.2">
      <c r="A200">
        <v>55564686</v>
      </c>
      <c r="B200">
        <v>2010</v>
      </c>
      <c r="C200">
        <v>24.6913580246914</v>
      </c>
      <c r="D200" t="s">
        <v>196</v>
      </c>
      <c r="E200" t="s">
        <v>197</v>
      </c>
      <c r="F200" t="s">
        <v>198</v>
      </c>
    </row>
    <row r="201" spans="1:6" x14ac:dyDescent="0.2">
      <c r="A201">
        <v>61030678</v>
      </c>
      <c r="B201">
        <v>2020</v>
      </c>
      <c r="C201">
        <v>65.570588235294096</v>
      </c>
      <c r="D201" t="s">
        <v>616</v>
      </c>
      <c r="E201" t="s">
        <v>127</v>
      </c>
      <c r="F201" t="s">
        <v>1126</v>
      </c>
    </row>
    <row r="202" spans="1:6" x14ac:dyDescent="0.2">
      <c r="A202">
        <v>61030678</v>
      </c>
      <c r="B202">
        <v>2019</v>
      </c>
      <c r="C202">
        <v>67.896551724137893</v>
      </c>
      <c r="D202" t="s">
        <v>616</v>
      </c>
      <c r="E202" t="s">
        <v>127</v>
      </c>
      <c r="F202" t="s">
        <v>1126</v>
      </c>
    </row>
    <row r="203" spans="1:6" x14ac:dyDescent="0.2">
      <c r="A203">
        <v>61030678</v>
      </c>
      <c r="B203">
        <v>2018</v>
      </c>
      <c r="C203">
        <v>64.090454545454506</v>
      </c>
      <c r="D203" t="s">
        <v>616</v>
      </c>
      <c r="E203" t="s">
        <v>127</v>
      </c>
      <c r="F203" t="s">
        <v>1126</v>
      </c>
    </row>
    <row r="204" spans="1:6" x14ac:dyDescent="0.2">
      <c r="A204">
        <v>61030678</v>
      </c>
      <c r="B204">
        <v>2017</v>
      </c>
      <c r="C204">
        <v>55.650930232558103</v>
      </c>
      <c r="D204" t="s">
        <v>616</v>
      </c>
      <c r="E204" t="s">
        <v>127</v>
      </c>
      <c r="F204" t="s">
        <v>1126</v>
      </c>
    </row>
    <row r="205" spans="1:6" x14ac:dyDescent="0.2">
      <c r="A205">
        <v>61030678</v>
      </c>
      <c r="B205">
        <v>2016</v>
      </c>
      <c r="C205">
        <v>48.8497727272727</v>
      </c>
      <c r="D205" t="s">
        <v>616</v>
      </c>
      <c r="E205" t="s">
        <v>127</v>
      </c>
      <c r="F205" t="s">
        <v>1126</v>
      </c>
    </row>
    <row r="206" spans="1:6" x14ac:dyDescent="0.2">
      <c r="A206">
        <v>61030678</v>
      </c>
      <c r="B206">
        <v>2015</v>
      </c>
      <c r="C206">
        <v>50.484545454545497</v>
      </c>
      <c r="D206" t="s">
        <v>616</v>
      </c>
      <c r="E206" t="s">
        <v>127</v>
      </c>
      <c r="F206" t="s">
        <v>1126</v>
      </c>
    </row>
    <row r="207" spans="1:6" x14ac:dyDescent="0.2">
      <c r="A207">
        <v>61030678</v>
      </c>
      <c r="B207">
        <v>2014</v>
      </c>
      <c r="C207">
        <v>49</v>
      </c>
      <c r="D207" t="s">
        <v>616</v>
      </c>
      <c r="E207" t="s">
        <v>127</v>
      </c>
      <c r="F207" t="s">
        <v>1126</v>
      </c>
    </row>
    <row r="208" spans="1:6" x14ac:dyDescent="0.2">
      <c r="A208">
        <v>61030678</v>
      </c>
      <c r="B208">
        <v>2013</v>
      </c>
      <c r="C208">
        <v>48.7777777777778</v>
      </c>
      <c r="D208" t="s">
        <v>616</v>
      </c>
      <c r="E208" t="s">
        <v>127</v>
      </c>
      <c r="F208" t="s">
        <v>1126</v>
      </c>
    </row>
    <row r="209" spans="1:6" x14ac:dyDescent="0.2">
      <c r="A209">
        <v>61030678</v>
      </c>
      <c r="B209">
        <v>2012</v>
      </c>
      <c r="C209">
        <v>44.25</v>
      </c>
      <c r="D209" t="s">
        <v>616</v>
      </c>
      <c r="E209" t="s">
        <v>127</v>
      </c>
      <c r="F209" t="s">
        <v>1126</v>
      </c>
    </row>
    <row r="210" spans="1:6" x14ac:dyDescent="0.2">
      <c r="A210">
        <v>61030678</v>
      </c>
      <c r="B210">
        <v>2011</v>
      </c>
      <c r="C210">
        <v>57</v>
      </c>
      <c r="D210" t="s">
        <v>616</v>
      </c>
      <c r="E210" t="s">
        <v>127</v>
      </c>
      <c r="F210" t="s">
        <v>1126</v>
      </c>
    </row>
    <row r="211" spans="1:6" x14ac:dyDescent="0.2">
      <c r="A211">
        <v>61030678</v>
      </c>
      <c r="B211">
        <v>2010</v>
      </c>
      <c r="C211">
        <v>38</v>
      </c>
      <c r="D211" t="s">
        <v>616</v>
      </c>
      <c r="E211" t="s">
        <v>127</v>
      </c>
      <c r="F211" t="s">
        <v>1126</v>
      </c>
    </row>
    <row r="212" spans="1:6" x14ac:dyDescent="0.2">
      <c r="A212">
        <v>48276769</v>
      </c>
      <c r="B212">
        <v>2020</v>
      </c>
      <c r="C212">
        <v>49.581501317652503</v>
      </c>
      <c r="D212" t="s">
        <v>713</v>
      </c>
      <c r="E212" t="s">
        <v>714</v>
      </c>
      <c r="F212" t="s">
        <v>622</v>
      </c>
    </row>
    <row r="213" spans="1:6" x14ac:dyDescent="0.2">
      <c r="A213">
        <v>48276769</v>
      </c>
      <c r="B213">
        <v>2019</v>
      </c>
      <c r="C213">
        <v>54.533372717596997</v>
      </c>
      <c r="D213" t="s">
        <v>713</v>
      </c>
      <c r="E213" t="s">
        <v>714</v>
      </c>
      <c r="F213" t="s">
        <v>622</v>
      </c>
    </row>
    <row r="214" spans="1:6" x14ac:dyDescent="0.2">
      <c r="A214">
        <v>48276769</v>
      </c>
      <c r="B214">
        <v>2018</v>
      </c>
      <c r="C214">
        <v>59.9248428596404</v>
      </c>
      <c r="D214" t="s">
        <v>713</v>
      </c>
      <c r="E214" t="s">
        <v>714</v>
      </c>
      <c r="F214" t="s">
        <v>622</v>
      </c>
    </row>
    <row r="215" spans="1:6" x14ac:dyDescent="0.2">
      <c r="A215">
        <v>48276769</v>
      </c>
      <c r="B215">
        <v>2017</v>
      </c>
      <c r="C215">
        <v>61.847684298798598</v>
      </c>
      <c r="D215" t="s">
        <v>713</v>
      </c>
      <c r="E215" t="s">
        <v>714</v>
      </c>
      <c r="F215" t="s">
        <v>622</v>
      </c>
    </row>
    <row r="216" spans="1:6" x14ac:dyDescent="0.2">
      <c r="A216">
        <v>48276769</v>
      </c>
      <c r="B216">
        <v>2016</v>
      </c>
      <c r="C216">
        <v>59.562302284602602</v>
      </c>
      <c r="D216" t="s">
        <v>713</v>
      </c>
      <c r="E216" t="s">
        <v>714</v>
      </c>
      <c r="F216" t="s">
        <v>622</v>
      </c>
    </row>
    <row r="217" spans="1:6" x14ac:dyDescent="0.2">
      <c r="A217">
        <v>48276769</v>
      </c>
      <c r="B217">
        <v>2015</v>
      </c>
      <c r="C217">
        <v>59.646635198417897</v>
      </c>
      <c r="D217" t="s">
        <v>713</v>
      </c>
      <c r="E217" t="s">
        <v>714</v>
      </c>
      <c r="F217" t="s">
        <v>622</v>
      </c>
    </row>
    <row r="218" spans="1:6" x14ac:dyDescent="0.2">
      <c r="A218">
        <v>48276769</v>
      </c>
      <c r="B218">
        <v>2014</v>
      </c>
      <c r="C218">
        <v>75.946552600372698</v>
      </c>
      <c r="D218" t="s">
        <v>713</v>
      </c>
      <c r="E218" t="s">
        <v>714</v>
      </c>
      <c r="F218" t="s">
        <v>622</v>
      </c>
    </row>
    <row r="219" spans="1:6" x14ac:dyDescent="0.2">
      <c r="A219">
        <v>48276769</v>
      </c>
      <c r="B219">
        <v>2013</v>
      </c>
      <c r="C219">
        <v>76.177777777777806</v>
      </c>
      <c r="D219" t="s">
        <v>713</v>
      </c>
      <c r="E219" t="s">
        <v>714</v>
      </c>
      <c r="F219" t="s">
        <v>622</v>
      </c>
    </row>
    <row r="220" spans="1:6" x14ac:dyDescent="0.2">
      <c r="A220">
        <v>48276769</v>
      </c>
      <c r="B220">
        <v>2012</v>
      </c>
      <c r="C220">
        <v>65.037593984962399</v>
      </c>
      <c r="D220" t="s">
        <v>713</v>
      </c>
      <c r="E220" t="s">
        <v>714</v>
      </c>
      <c r="F220" t="s">
        <v>622</v>
      </c>
    </row>
    <row r="221" spans="1:6" x14ac:dyDescent="0.2">
      <c r="A221">
        <v>48276769</v>
      </c>
      <c r="B221">
        <v>2011</v>
      </c>
      <c r="C221">
        <v>82.644628099173602</v>
      </c>
      <c r="D221" t="s">
        <v>713</v>
      </c>
      <c r="E221" t="s">
        <v>714</v>
      </c>
      <c r="F221" t="s">
        <v>622</v>
      </c>
    </row>
    <row r="222" spans="1:6" x14ac:dyDescent="0.2">
      <c r="A222">
        <v>48276769</v>
      </c>
      <c r="B222">
        <v>2010</v>
      </c>
      <c r="C222">
        <v>33.193499622071002</v>
      </c>
      <c r="D222" t="s">
        <v>713</v>
      </c>
      <c r="E222" t="s">
        <v>714</v>
      </c>
      <c r="F222" t="s">
        <v>622</v>
      </c>
    </row>
    <row r="223" spans="1:6" x14ac:dyDescent="0.2">
      <c r="A223">
        <v>44556603</v>
      </c>
      <c r="B223">
        <v>2019</v>
      </c>
      <c r="C223">
        <v>36.8264344399919</v>
      </c>
      <c r="D223" t="s">
        <v>315</v>
      </c>
      <c r="E223" t="s">
        <v>218</v>
      </c>
      <c r="F223" t="s">
        <v>7</v>
      </c>
    </row>
    <row r="224" spans="1:6" x14ac:dyDescent="0.2">
      <c r="A224">
        <v>44556603</v>
      </c>
      <c r="B224">
        <v>2018</v>
      </c>
      <c r="C224">
        <v>32.698820506831701</v>
      </c>
      <c r="D224" t="s">
        <v>315</v>
      </c>
      <c r="E224" t="s">
        <v>218</v>
      </c>
      <c r="F224" t="s">
        <v>7</v>
      </c>
    </row>
    <row r="225" spans="1:6" x14ac:dyDescent="0.2">
      <c r="A225">
        <v>80282783</v>
      </c>
      <c r="B225">
        <v>2019</v>
      </c>
      <c r="C225">
        <v>72.1666666666667</v>
      </c>
      <c r="D225" t="s">
        <v>828</v>
      </c>
      <c r="E225" t="s">
        <v>570</v>
      </c>
      <c r="F225" t="s">
        <v>1126</v>
      </c>
    </row>
    <row r="226" spans="1:6" x14ac:dyDescent="0.2">
      <c r="A226">
        <v>80886259</v>
      </c>
      <c r="B226">
        <v>2020</v>
      </c>
      <c r="C226">
        <v>63.006060606060601</v>
      </c>
      <c r="D226" t="s">
        <v>576</v>
      </c>
      <c r="E226" t="s">
        <v>123</v>
      </c>
      <c r="F226" t="s">
        <v>1126</v>
      </c>
    </row>
    <row r="227" spans="1:6" x14ac:dyDescent="0.2">
      <c r="A227">
        <v>80886259</v>
      </c>
      <c r="B227">
        <v>2019</v>
      </c>
      <c r="C227">
        <v>61.357446808510602</v>
      </c>
      <c r="D227" t="s">
        <v>576</v>
      </c>
      <c r="E227" t="s">
        <v>123</v>
      </c>
      <c r="F227" t="s">
        <v>1126</v>
      </c>
    </row>
    <row r="228" spans="1:6" x14ac:dyDescent="0.2">
      <c r="A228">
        <v>80886259</v>
      </c>
      <c r="B228">
        <v>2018</v>
      </c>
      <c r="C228">
        <v>60.287288135593201</v>
      </c>
      <c r="D228" t="s">
        <v>576</v>
      </c>
      <c r="E228" t="s">
        <v>123</v>
      </c>
      <c r="F228" t="s">
        <v>1126</v>
      </c>
    </row>
    <row r="229" spans="1:6" x14ac:dyDescent="0.2">
      <c r="A229">
        <v>80886259</v>
      </c>
      <c r="B229">
        <v>2017</v>
      </c>
      <c r="C229">
        <v>53.738888888888901</v>
      </c>
      <c r="D229" t="s">
        <v>576</v>
      </c>
      <c r="E229" t="s">
        <v>123</v>
      </c>
      <c r="F229" t="s">
        <v>1126</v>
      </c>
    </row>
    <row r="230" spans="1:6" x14ac:dyDescent="0.2">
      <c r="A230">
        <v>80886259</v>
      </c>
      <c r="B230">
        <v>2016</v>
      </c>
      <c r="C230">
        <v>50.775306122449003</v>
      </c>
      <c r="D230" t="s">
        <v>576</v>
      </c>
      <c r="E230" t="s">
        <v>123</v>
      </c>
      <c r="F230" t="s">
        <v>1126</v>
      </c>
    </row>
    <row r="231" spans="1:6" x14ac:dyDescent="0.2">
      <c r="A231">
        <v>80886259</v>
      </c>
      <c r="B231">
        <v>2015</v>
      </c>
      <c r="C231">
        <v>42.3611111111111</v>
      </c>
      <c r="D231" t="s">
        <v>576</v>
      </c>
      <c r="E231" t="s">
        <v>123</v>
      </c>
      <c r="F231" t="s">
        <v>1126</v>
      </c>
    </row>
    <row r="232" spans="1:6" x14ac:dyDescent="0.2">
      <c r="A232">
        <v>80886259</v>
      </c>
      <c r="B232">
        <v>2014</v>
      </c>
      <c r="C232">
        <v>51</v>
      </c>
      <c r="D232" t="s">
        <v>576</v>
      </c>
      <c r="E232" t="s">
        <v>123</v>
      </c>
      <c r="F232" t="s">
        <v>1126</v>
      </c>
    </row>
    <row r="233" spans="1:6" x14ac:dyDescent="0.2">
      <c r="A233">
        <v>80886259</v>
      </c>
      <c r="B233">
        <v>2013</v>
      </c>
      <c r="C233">
        <v>35.656666666666702</v>
      </c>
      <c r="D233" t="s">
        <v>576</v>
      </c>
      <c r="E233" t="s">
        <v>123</v>
      </c>
      <c r="F233" t="s">
        <v>1126</v>
      </c>
    </row>
    <row r="234" spans="1:6" x14ac:dyDescent="0.2">
      <c r="A234">
        <v>80886259</v>
      </c>
      <c r="B234">
        <v>2012</v>
      </c>
      <c r="C234">
        <v>45.3333333333333</v>
      </c>
      <c r="D234" t="s">
        <v>576</v>
      </c>
      <c r="E234" t="s">
        <v>123</v>
      </c>
      <c r="F234" t="s">
        <v>1126</v>
      </c>
    </row>
    <row r="235" spans="1:6" x14ac:dyDescent="0.2">
      <c r="A235">
        <v>80886259</v>
      </c>
      <c r="B235">
        <v>2011</v>
      </c>
      <c r="C235">
        <v>33.799999999999997</v>
      </c>
      <c r="D235" t="s">
        <v>576</v>
      </c>
      <c r="E235" t="s">
        <v>123</v>
      </c>
      <c r="F235" t="s">
        <v>1126</v>
      </c>
    </row>
    <row r="236" spans="1:6" x14ac:dyDescent="0.2">
      <c r="A236">
        <v>80886259</v>
      </c>
      <c r="B236">
        <v>2010</v>
      </c>
      <c r="C236">
        <v>15</v>
      </c>
      <c r="D236" t="s">
        <v>576</v>
      </c>
      <c r="E236" t="s">
        <v>123</v>
      </c>
      <c r="F236" t="s">
        <v>1126</v>
      </c>
    </row>
    <row r="237" spans="1:6" x14ac:dyDescent="0.2">
      <c r="A237">
        <v>82592315</v>
      </c>
      <c r="B237">
        <v>2019</v>
      </c>
      <c r="C237">
        <v>33.132597550874202</v>
      </c>
      <c r="D237" t="s">
        <v>1066</v>
      </c>
      <c r="E237" t="s">
        <v>1066</v>
      </c>
      <c r="F237" t="s">
        <v>83</v>
      </c>
    </row>
    <row r="238" spans="1:6" x14ac:dyDescent="0.2">
      <c r="A238">
        <v>82592315</v>
      </c>
      <c r="B238">
        <v>2017</v>
      </c>
      <c r="C238">
        <v>29.357366771159899</v>
      </c>
      <c r="D238" t="s">
        <v>1066</v>
      </c>
      <c r="E238" t="s">
        <v>1066</v>
      </c>
      <c r="F238" t="s">
        <v>83</v>
      </c>
    </row>
    <row r="239" spans="1:6" x14ac:dyDescent="0.2">
      <c r="A239">
        <v>24770420</v>
      </c>
      <c r="B239">
        <v>2019</v>
      </c>
      <c r="C239">
        <v>9.7635204761021992</v>
      </c>
      <c r="D239" t="s">
        <v>1004</v>
      </c>
      <c r="E239" t="s">
        <v>1005</v>
      </c>
      <c r="F239" t="s">
        <v>600</v>
      </c>
    </row>
    <row r="240" spans="1:6" x14ac:dyDescent="0.2">
      <c r="A240">
        <v>96281836</v>
      </c>
      <c r="B240">
        <v>2019</v>
      </c>
      <c r="C240">
        <v>82.5</v>
      </c>
      <c r="D240" t="s">
        <v>831</v>
      </c>
      <c r="E240" t="s">
        <v>5</v>
      </c>
      <c r="F240" t="s">
        <v>1126</v>
      </c>
    </row>
    <row r="241" spans="1:6" x14ac:dyDescent="0.2">
      <c r="A241">
        <v>96281836</v>
      </c>
      <c r="B241">
        <v>2018</v>
      </c>
      <c r="C241">
        <v>72.4433333333333</v>
      </c>
      <c r="D241" t="s">
        <v>831</v>
      </c>
      <c r="E241" t="s">
        <v>5</v>
      </c>
      <c r="F241" t="s">
        <v>1126</v>
      </c>
    </row>
    <row r="242" spans="1:6" x14ac:dyDescent="0.2">
      <c r="A242">
        <v>96281836</v>
      </c>
      <c r="B242">
        <v>2017</v>
      </c>
      <c r="C242">
        <v>59.1666666666667</v>
      </c>
      <c r="D242" t="s">
        <v>831</v>
      </c>
      <c r="E242" t="s">
        <v>5</v>
      </c>
      <c r="F242" t="s">
        <v>1126</v>
      </c>
    </row>
    <row r="243" spans="1:6" x14ac:dyDescent="0.2">
      <c r="A243">
        <v>98824284</v>
      </c>
      <c r="B243">
        <v>2020</v>
      </c>
      <c r="C243">
        <v>18.3235376859543</v>
      </c>
      <c r="D243" t="s">
        <v>519</v>
      </c>
      <c r="E243"/>
      <c r="F243" t="s">
        <v>520</v>
      </c>
    </row>
    <row r="244" spans="1:6" x14ac:dyDescent="0.2">
      <c r="A244">
        <v>98824284</v>
      </c>
      <c r="B244">
        <v>2019</v>
      </c>
      <c r="C244">
        <v>17.459111853764799</v>
      </c>
      <c r="D244" t="s">
        <v>519</v>
      </c>
      <c r="E244"/>
      <c r="F244" t="s">
        <v>520</v>
      </c>
    </row>
    <row r="245" spans="1:6" x14ac:dyDescent="0.2">
      <c r="A245">
        <v>98824284</v>
      </c>
      <c r="B245">
        <v>2018</v>
      </c>
      <c r="C245">
        <v>14.080134256345699</v>
      </c>
      <c r="D245" t="s">
        <v>519</v>
      </c>
      <c r="E245"/>
      <c r="F245" t="s">
        <v>520</v>
      </c>
    </row>
    <row r="246" spans="1:6" x14ac:dyDescent="0.2">
      <c r="A246">
        <v>98824284</v>
      </c>
      <c r="B246">
        <v>2017</v>
      </c>
      <c r="C246">
        <v>13.4295538731719</v>
      </c>
      <c r="D246" t="s">
        <v>519</v>
      </c>
      <c r="E246"/>
      <c r="F246" t="s">
        <v>520</v>
      </c>
    </row>
    <row r="247" spans="1:6" x14ac:dyDescent="0.2">
      <c r="A247">
        <v>98824284</v>
      </c>
      <c r="B247">
        <v>2016</v>
      </c>
      <c r="C247">
        <v>14.173131828002001</v>
      </c>
      <c r="D247" t="s">
        <v>519</v>
      </c>
      <c r="E247"/>
      <c r="F247" t="s">
        <v>520</v>
      </c>
    </row>
    <row r="248" spans="1:6" x14ac:dyDescent="0.2">
      <c r="A248">
        <v>98824284</v>
      </c>
      <c r="B248">
        <v>2015</v>
      </c>
      <c r="C248">
        <v>20.0463095124814</v>
      </c>
      <c r="D248" t="s">
        <v>519</v>
      </c>
      <c r="E248"/>
      <c r="F248" t="s">
        <v>520</v>
      </c>
    </row>
    <row r="249" spans="1:6" x14ac:dyDescent="0.2">
      <c r="A249">
        <v>98824284</v>
      </c>
      <c r="B249">
        <v>2014</v>
      </c>
      <c r="C249">
        <v>32.508924018358002</v>
      </c>
      <c r="D249" t="s">
        <v>519</v>
      </c>
      <c r="E249"/>
      <c r="F249" t="s">
        <v>520</v>
      </c>
    </row>
    <row r="250" spans="1:6" x14ac:dyDescent="0.2">
      <c r="A250">
        <v>98824284</v>
      </c>
      <c r="B250">
        <v>2013</v>
      </c>
      <c r="C250">
        <v>34.170541492387898</v>
      </c>
      <c r="D250" t="s">
        <v>519</v>
      </c>
      <c r="E250"/>
      <c r="F250" t="s">
        <v>520</v>
      </c>
    </row>
    <row r="251" spans="1:6" x14ac:dyDescent="0.2">
      <c r="A251">
        <v>98824284</v>
      </c>
      <c r="B251">
        <v>2012</v>
      </c>
      <c r="C251">
        <v>37.935784999375699</v>
      </c>
      <c r="D251" t="s">
        <v>519</v>
      </c>
      <c r="E251"/>
      <c r="F251" t="s">
        <v>520</v>
      </c>
    </row>
    <row r="252" spans="1:6" x14ac:dyDescent="0.2">
      <c r="A252">
        <v>98824284</v>
      </c>
      <c r="B252">
        <v>2011</v>
      </c>
      <c r="C252">
        <v>43.478260869565197</v>
      </c>
      <c r="D252" t="s">
        <v>519</v>
      </c>
      <c r="E252"/>
      <c r="F252" t="s">
        <v>520</v>
      </c>
    </row>
    <row r="253" spans="1:6" x14ac:dyDescent="0.2">
      <c r="A253">
        <v>38878237</v>
      </c>
      <c r="B253">
        <v>2020</v>
      </c>
      <c r="C253">
        <v>68.148333333333298</v>
      </c>
      <c r="D253" t="s">
        <v>446</v>
      </c>
      <c r="E253" t="s">
        <v>447</v>
      </c>
      <c r="F253" t="s">
        <v>1126</v>
      </c>
    </row>
    <row r="254" spans="1:6" x14ac:dyDescent="0.2">
      <c r="A254">
        <v>38878237</v>
      </c>
      <c r="B254">
        <v>2019</v>
      </c>
      <c r="C254">
        <v>76.362727272727298</v>
      </c>
      <c r="D254" t="s">
        <v>446</v>
      </c>
      <c r="E254" t="s">
        <v>447</v>
      </c>
      <c r="F254" t="s">
        <v>1126</v>
      </c>
    </row>
    <row r="255" spans="1:6" x14ac:dyDescent="0.2">
      <c r="A255">
        <v>38878237</v>
      </c>
      <c r="B255">
        <v>2018</v>
      </c>
      <c r="C255">
        <v>68.928571428571402</v>
      </c>
      <c r="D255" t="s">
        <v>446</v>
      </c>
      <c r="E255" t="s">
        <v>447</v>
      </c>
      <c r="F255" t="s">
        <v>1126</v>
      </c>
    </row>
    <row r="256" spans="1:6" x14ac:dyDescent="0.2">
      <c r="A256">
        <v>38878237</v>
      </c>
      <c r="B256">
        <v>2017</v>
      </c>
      <c r="C256">
        <v>60</v>
      </c>
      <c r="D256" t="s">
        <v>446</v>
      </c>
      <c r="E256" t="s">
        <v>447</v>
      </c>
      <c r="F256" t="s">
        <v>1126</v>
      </c>
    </row>
    <row r="257" spans="1:6" x14ac:dyDescent="0.2">
      <c r="A257">
        <v>38878237</v>
      </c>
      <c r="B257">
        <v>2016</v>
      </c>
      <c r="C257">
        <v>60.386111111111099</v>
      </c>
      <c r="D257" t="s">
        <v>446</v>
      </c>
      <c r="E257" t="s">
        <v>447</v>
      </c>
      <c r="F257" t="s">
        <v>1126</v>
      </c>
    </row>
    <row r="258" spans="1:6" x14ac:dyDescent="0.2">
      <c r="A258">
        <v>38878237</v>
      </c>
      <c r="B258">
        <v>2015</v>
      </c>
      <c r="C258">
        <v>54.75</v>
      </c>
      <c r="D258" t="s">
        <v>446</v>
      </c>
      <c r="E258" t="s">
        <v>447</v>
      </c>
      <c r="F258" t="s">
        <v>1126</v>
      </c>
    </row>
    <row r="259" spans="1:6" x14ac:dyDescent="0.2">
      <c r="A259">
        <v>38878237</v>
      </c>
      <c r="B259">
        <v>2014</v>
      </c>
      <c r="C259">
        <v>68.496666666666698</v>
      </c>
      <c r="D259" t="s">
        <v>446</v>
      </c>
      <c r="E259" t="s">
        <v>447</v>
      </c>
      <c r="F259" t="s">
        <v>1126</v>
      </c>
    </row>
    <row r="260" spans="1:6" x14ac:dyDescent="0.2">
      <c r="A260">
        <v>38878237</v>
      </c>
      <c r="B260">
        <v>2013</v>
      </c>
      <c r="C260">
        <v>48</v>
      </c>
      <c r="D260" t="s">
        <v>446</v>
      </c>
      <c r="E260" t="s">
        <v>447</v>
      </c>
      <c r="F260" t="s">
        <v>1126</v>
      </c>
    </row>
    <row r="261" spans="1:6" x14ac:dyDescent="0.2">
      <c r="A261">
        <v>68808372</v>
      </c>
      <c r="B261">
        <v>2018</v>
      </c>
      <c r="C261">
        <v>93.732780446286</v>
      </c>
      <c r="D261" t="s">
        <v>521</v>
      </c>
      <c r="E261" t="s">
        <v>522</v>
      </c>
      <c r="F261" t="s">
        <v>523</v>
      </c>
    </row>
    <row r="262" spans="1:6" x14ac:dyDescent="0.2">
      <c r="A262">
        <v>68808372</v>
      </c>
      <c r="B262">
        <v>2016</v>
      </c>
      <c r="C262">
        <v>70.578671199467905</v>
      </c>
      <c r="D262" t="s">
        <v>521</v>
      </c>
      <c r="E262" t="s">
        <v>522</v>
      </c>
      <c r="F262" t="s">
        <v>523</v>
      </c>
    </row>
    <row r="263" spans="1:6" x14ac:dyDescent="0.2">
      <c r="A263">
        <v>68808372</v>
      </c>
      <c r="B263">
        <v>2015</v>
      </c>
      <c r="C263">
        <v>73.449184683623002</v>
      </c>
      <c r="D263" t="s">
        <v>521</v>
      </c>
      <c r="E263" t="s">
        <v>522</v>
      </c>
      <c r="F263" t="s">
        <v>523</v>
      </c>
    </row>
    <row r="264" spans="1:6" x14ac:dyDescent="0.2">
      <c r="A264">
        <v>95945647</v>
      </c>
      <c r="B264">
        <v>2020</v>
      </c>
      <c r="C264">
        <v>29.087108494914698</v>
      </c>
      <c r="D264" t="s">
        <v>532</v>
      </c>
      <c r="E264" t="s">
        <v>533</v>
      </c>
      <c r="F264" t="s">
        <v>385</v>
      </c>
    </row>
    <row r="265" spans="1:6" x14ac:dyDescent="0.2">
      <c r="A265">
        <v>95945647</v>
      </c>
      <c r="B265">
        <v>2018</v>
      </c>
      <c r="C265">
        <v>39.1382987641542</v>
      </c>
      <c r="D265" t="s">
        <v>532</v>
      </c>
      <c r="E265" t="s">
        <v>533</v>
      </c>
      <c r="F265" t="s">
        <v>385</v>
      </c>
    </row>
    <row r="266" spans="1:6" x14ac:dyDescent="0.2">
      <c r="A266">
        <v>95945647</v>
      </c>
      <c r="B266">
        <v>2017</v>
      </c>
      <c r="C266">
        <v>80.115461013888606</v>
      </c>
      <c r="D266" t="s">
        <v>532</v>
      </c>
      <c r="E266" t="s">
        <v>533</v>
      </c>
      <c r="F266" t="s">
        <v>385</v>
      </c>
    </row>
    <row r="267" spans="1:6" x14ac:dyDescent="0.2">
      <c r="A267">
        <v>95945647</v>
      </c>
      <c r="B267">
        <v>2016</v>
      </c>
      <c r="C267">
        <v>31.194397122846901</v>
      </c>
      <c r="D267" t="s">
        <v>532</v>
      </c>
      <c r="E267" t="s">
        <v>533</v>
      </c>
      <c r="F267" t="s">
        <v>385</v>
      </c>
    </row>
    <row r="268" spans="1:6" x14ac:dyDescent="0.2">
      <c r="A268">
        <v>95945647</v>
      </c>
      <c r="B268">
        <v>2015</v>
      </c>
      <c r="C268">
        <v>32.779858037999396</v>
      </c>
      <c r="D268" t="s">
        <v>532</v>
      </c>
      <c r="E268" t="s">
        <v>533</v>
      </c>
      <c r="F268" t="s">
        <v>385</v>
      </c>
    </row>
    <row r="269" spans="1:6" x14ac:dyDescent="0.2">
      <c r="A269">
        <v>95945647</v>
      </c>
      <c r="B269">
        <v>2013</v>
      </c>
      <c r="C269">
        <v>53.2518372394902</v>
      </c>
      <c r="D269" t="s">
        <v>532</v>
      </c>
      <c r="E269" t="s">
        <v>533</v>
      </c>
      <c r="F269" t="s">
        <v>385</v>
      </c>
    </row>
    <row r="270" spans="1:6" x14ac:dyDescent="0.2">
      <c r="A270">
        <v>13733056</v>
      </c>
      <c r="B270">
        <v>2020</v>
      </c>
      <c r="C270">
        <v>20.339562434762598</v>
      </c>
      <c r="D270" t="s">
        <v>260</v>
      </c>
      <c r="E270"/>
      <c r="F270" t="s">
        <v>261</v>
      </c>
    </row>
    <row r="271" spans="1:6" x14ac:dyDescent="0.2">
      <c r="A271">
        <v>13733056</v>
      </c>
      <c r="B271">
        <v>2019</v>
      </c>
      <c r="C271">
        <v>22.087572646797</v>
      </c>
      <c r="D271" t="s">
        <v>260</v>
      </c>
      <c r="E271"/>
      <c r="F271" t="s">
        <v>261</v>
      </c>
    </row>
    <row r="272" spans="1:6" x14ac:dyDescent="0.2">
      <c r="A272">
        <v>13733056</v>
      </c>
      <c r="B272">
        <v>2018</v>
      </c>
      <c r="C272">
        <v>23.672209434895802</v>
      </c>
      <c r="D272" t="s">
        <v>260</v>
      </c>
      <c r="E272"/>
      <c r="F272" t="s">
        <v>261</v>
      </c>
    </row>
    <row r="273" spans="1:6" x14ac:dyDescent="0.2">
      <c r="A273">
        <v>13733056</v>
      </c>
      <c r="B273">
        <v>2017</v>
      </c>
      <c r="C273">
        <v>20.818878224883299</v>
      </c>
      <c r="D273" t="s">
        <v>260</v>
      </c>
      <c r="E273"/>
      <c r="F273" t="s">
        <v>261</v>
      </c>
    </row>
    <row r="274" spans="1:6" x14ac:dyDescent="0.2">
      <c r="A274">
        <v>13733056</v>
      </c>
      <c r="B274">
        <v>2016</v>
      </c>
      <c r="C274">
        <v>17.360993651853001</v>
      </c>
      <c r="D274" t="s">
        <v>260</v>
      </c>
      <c r="E274"/>
      <c r="F274" t="s">
        <v>261</v>
      </c>
    </row>
    <row r="275" spans="1:6" x14ac:dyDescent="0.2">
      <c r="A275">
        <v>13733056</v>
      </c>
      <c r="B275">
        <v>2015</v>
      </c>
      <c r="C275">
        <v>18.564330737856899</v>
      </c>
      <c r="D275" t="s">
        <v>260</v>
      </c>
      <c r="E275"/>
      <c r="F275" t="s">
        <v>261</v>
      </c>
    </row>
    <row r="276" spans="1:6" x14ac:dyDescent="0.2">
      <c r="A276">
        <v>13733056</v>
      </c>
      <c r="B276">
        <v>2014</v>
      </c>
      <c r="C276">
        <v>20.5816548979648</v>
      </c>
      <c r="D276" t="s">
        <v>260</v>
      </c>
      <c r="E276"/>
      <c r="F276" t="s">
        <v>261</v>
      </c>
    </row>
    <row r="277" spans="1:6" x14ac:dyDescent="0.2">
      <c r="A277">
        <v>13733056</v>
      </c>
      <c r="B277">
        <v>2013</v>
      </c>
      <c r="C277">
        <v>21.0448264239973</v>
      </c>
      <c r="D277" t="s">
        <v>260</v>
      </c>
      <c r="E277"/>
      <c r="F277" t="s">
        <v>261</v>
      </c>
    </row>
    <row r="278" spans="1:6" x14ac:dyDescent="0.2">
      <c r="A278">
        <v>13733056</v>
      </c>
      <c r="B278">
        <v>2012</v>
      </c>
      <c r="C278">
        <v>21.854356715948398</v>
      </c>
      <c r="D278" t="s">
        <v>260</v>
      </c>
      <c r="E278"/>
      <c r="F278" t="s">
        <v>261</v>
      </c>
    </row>
    <row r="279" spans="1:6" x14ac:dyDescent="0.2">
      <c r="A279">
        <v>13733056</v>
      </c>
      <c r="B279">
        <v>2011</v>
      </c>
      <c r="C279">
        <v>20.2850513755386</v>
      </c>
      <c r="D279" t="s">
        <v>260</v>
      </c>
      <c r="E279"/>
      <c r="F279" t="s">
        <v>261</v>
      </c>
    </row>
    <row r="280" spans="1:6" x14ac:dyDescent="0.2">
      <c r="A280">
        <v>13733056</v>
      </c>
      <c r="B280">
        <v>2010</v>
      </c>
      <c r="C280">
        <v>17.414945009764601</v>
      </c>
      <c r="D280" t="s">
        <v>260</v>
      </c>
      <c r="E280"/>
      <c r="F280" t="s">
        <v>261</v>
      </c>
    </row>
    <row r="281" spans="1:6" x14ac:dyDescent="0.2">
      <c r="A281">
        <v>38444387</v>
      </c>
      <c r="B281">
        <v>2020</v>
      </c>
      <c r="C281">
        <v>22.786743374928498</v>
      </c>
      <c r="D281" t="s">
        <v>918</v>
      </c>
      <c r="E281" t="s">
        <v>919</v>
      </c>
      <c r="F281" t="s">
        <v>541</v>
      </c>
    </row>
    <row r="282" spans="1:6" x14ac:dyDescent="0.2">
      <c r="A282">
        <v>38444387</v>
      </c>
      <c r="B282">
        <v>2019</v>
      </c>
      <c r="C282">
        <v>24.288186358589002</v>
      </c>
      <c r="D282" t="s">
        <v>918</v>
      </c>
      <c r="E282" t="s">
        <v>919</v>
      </c>
      <c r="F282" t="s">
        <v>541</v>
      </c>
    </row>
    <row r="283" spans="1:6" x14ac:dyDescent="0.2">
      <c r="A283">
        <v>38444387</v>
      </c>
      <c r="B283">
        <v>2018</v>
      </c>
      <c r="C283">
        <v>24.0007898907648</v>
      </c>
      <c r="D283" t="s">
        <v>918</v>
      </c>
      <c r="E283" t="s">
        <v>919</v>
      </c>
      <c r="F283" t="s">
        <v>541</v>
      </c>
    </row>
    <row r="284" spans="1:6" x14ac:dyDescent="0.2">
      <c r="A284">
        <v>38444387</v>
      </c>
      <c r="B284">
        <v>2017</v>
      </c>
      <c r="C284">
        <v>20.8374735895237</v>
      </c>
      <c r="D284" t="s">
        <v>918</v>
      </c>
      <c r="E284" t="s">
        <v>919</v>
      </c>
      <c r="F284" t="s">
        <v>541</v>
      </c>
    </row>
    <row r="285" spans="1:6" x14ac:dyDescent="0.2">
      <c r="A285">
        <v>38444387</v>
      </c>
      <c r="B285">
        <v>2016</v>
      </c>
      <c r="C285">
        <v>16.262051341619198</v>
      </c>
      <c r="D285" t="s">
        <v>918</v>
      </c>
      <c r="E285" t="s">
        <v>919</v>
      </c>
      <c r="F285" t="s">
        <v>541</v>
      </c>
    </row>
    <row r="286" spans="1:6" x14ac:dyDescent="0.2">
      <c r="A286">
        <v>38444387</v>
      </c>
      <c r="B286">
        <v>2015</v>
      </c>
      <c r="C286">
        <v>17.932901641174499</v>
      </c>
      <c r="D286" t="s">
        <v>918</v>
      </c>
      <c r="E286" t="s">
        <v>919</v>
      </c>
      <c r="F286" t="s">
        <v>541</v>
      </c>
    </row>
    <row r="287" spans="1:6" x14ac:dyDescent="0.2">
      <c r="A287">
        <v>38444387</v>
      </c>
      <c r="B287">
        <v>2014</v>
      </c>
      <c r="C287">
        <v>20.1291039078226</v>
      </c>
      <c r="D287" t="s">
        <v>918</v>
      </c>
      <c r="E287" t="s">
        <v>919</v>
      </c>
      <c r="F287" t="s">
        <v>541</v>
      </c>
    </row>
    <row r="288" spans="1:6" x14ac:dyDescent="0.2">
      <c r="A288">
        <v>38444387</v>
      </c>
      <c r="B288">
        <v>2013</v>
      </c>
      <c r="C288">
        <v>22.445940840500501</v>
      </c>
      <c r="D288" t="s">
        <v>918</v>
      </c>
      <c r="E288" t="s">
        <v>919</v>
      </c>
      <c r="F288" t="s">
        <v>541</v>
      </c>
    </row>
    <row r="289" spans="1:6" x14ac:dyDescent="0.2">
      <c r="A289">
        <v>38444387</v>
      </c>
      <c r="B289">
        <v>2012</v>
      </c>
      <c r="C289">
        <v>25.887651376829901</v>
      </c>
      <c r="D289" t="s">
        <v>918</v>
      </c>
      <c r="E289" t="s">
        <v>919</v>
      </c>
      <c r="F289" t="s">
        <v>541</v>
      </c>
    </row>
    <row r="290" spans="1:6" x14ac:dyDescent="0.2">
      <c r="A290">
        <v>38444387</v>
      </c>
      <c r="B290">
        <v>2011</v>
      </c>
      <c r="C290">
        <v>27.7777777777778</v>
      </c>
      <c r="D290" t="s">
        <v>918</v>
      </c>
      <c r="E290" t="s">
        <v>919</v>
      </c>
      <c r="F290" t="s">
        <v>541</v>
      </c>
    </row>
    <row r="291" spans="1:6" x14ac:dyDescent="0.2">
      <c r="A291">
        <v>86582918</v>
      </c>
      <c r="B291">
        <v>2020</v>
      </c>
      <c r="C291">
        <v>45.788881640665799</v>
      </c>
      <c r="D291" t="s">
        <v>189</v>
      </c>
      <c r="E291" t="s">
        <v>190</v>
      </c>
      <c r="F291" t="s">
        <v>191</v>
      </c>
    </row>
    <row r="292" spans="1:6" x14ac:dyDescent="0.2">
      <c r="A292">
        <v>86582918</v>
      </c>
      <c r="B292">
        <v>2019</v>
      </c>
      <c r="C292">
        <v>48.1053850420749</v>
      </c>
      <c r="D292" t="s">
        <v>189</v>
      </c>
      <c r="E292" t="s">
        <v>190</v>
      </c>
      <c r="F292" t="s">
        <v>191</v>
      </c>
    </row>
    <row r="293" spans="1:6" x14ac:dyDescent="0.2">
      <c r="A293">
        <v>86582918</v>
      </c>
      <c r="B293">
        <v>2018</v>
      </c>
      <c r="C293">
        <v>49.466824195307197</v>
      </c>
      <c r="D293" t="s">
        <v>189</v>
      </c>
      <c r="E293" t="s">
        <v>190</v>
      </c>
      <c r="F293" t="s">
        <v>191</v>
      </c>
    </row>
    <row r="294" spans="1:6" x14ac:dyDescent="0.2">
      <c r="A294">
        <v>86582918</v>
      </c>
      <c r="B294">
        <v>2017</v>
      </c>
      <c r="C294">
        <v>47.142568221544899</v>
      </c>
      <c r="D294" t="s">
        <v>189</v>
      </c>
      <c r="E294" t="s">
        <v>190</v>
      </c>
      <c r="F294" t="s">
        <v>191</v>
      </c>
    </row>
    <row r="295" spans="1:6" x14ac:dyDescent="0.2">
      <c r="A295">
        <v>86582918</v>
      </c>
      <c r="B295">
        <v>2016</v>
      </c>
      <c r="C295">
        <v>40.628304783982898</v>
      </c>
      <c r="D295" t="s">
        <v>189</v>
      </c>
      <c r="E295" t="s">
        <v>190</v>
      </c>
      <c r="F295" t="s">
        <v>191</v>
      </c>
    </row>
    <row r="296" spans="1:6" x14ac:dyDescent="0.2">
      <c r="A296">
        <v>86582918</v>
      </c>
      <c r="B296">
        <v>2015</v>
      </c>
      <c r="C296">
        <v>39.629508196721297</v>
      </c>
      <c r="D296" t="s">
        <v>189</v>
      </c>
      <c r="E296" t="s">
        <v>190</v>
      </c>
      <c r="F296" t="s">
        <v>191</v>
      </c>
    </row>
    <row r="297" spans="1:6" x14ac:dyDescent="0.2">
      <c r="A297">
        <v>86582918</v>
      </c>
      <c r="B297">
        <v>2014</v>
      </c>
      <c r="C297">
        <v>47.1649727330772</v>
      </c>
      <c r="D297" t="s">
        <v>189</v>
      </c>
      <c r="E297" t="s">
        <v>190</v>
      </c>
      <c r="F297" t="s">
        <v>191</v>
      </c>
    </row>
    <row r="298" spans="1:6" x14ac:dyDescent="0.2">
      <c r="A298">
        <v>86582918</v>
      </c>
      <c r="B298">
        <v>2013</v>
      </c>
      <c r="C298">
        <v>45.346320346320297</v>
      </c>
      <c r="D298" t="s">
        <v>189</v>
      </c>
      <c r="E298" t="s">
        <v>190</v>
      </c>
      <c r="F298" t="s">
        <v>191</v>
      </c>
    </row>
    <row r="299" spans="1:6" x14ac:dyDescent="0.2">
      <c r="A299">
        <v>86582918</v>
      </c>
      <c r="B299">
        <v>2012</v>
      </c>
      <c r="C299">
        <v>42.0482603815937</v>
      </c>
      <c r="D299" t="s">
        <v>189</v>
      </c>
      <c r="E299" t="s">
        <v>190</v>
      </c>
      <c r="F299" t="s">
        <v>191</v>
      </c>
    </row>
    <row r="300" spans="1:6" x14ac:dyDescent="0.2">
      <c r="A300">
        <v>86582918</v>
      </c>
      <c r="B300">
        <v>2011</v>
      </c>
      <c r="C300">
        <v>49.2753623188406</v>
      </c>
      <c r="D300" t="s">
        <v>189</v>
      </c>
      <c r="E300" t="s">
        <v>190</v>
      </c>
      <c r="F300" t="s">
        <v>191</v>
      </c>
    </row>
    <row r="301" spans="1:6" x14ac:dyDescent="0.2">
      <c r="A301">
        <v>86582918</v>
      </c>
      <c r="B301">
        <v>2010</v>
      </c>
      <c r="C301">
        <v>24.6913580246914</v>
      </c>
      <c r="D301" t="s">
        <v>189</v>
      </c>
      <c r="E301" t="s">
        <v>190</v>
      </c>
      <c r="F301" t="s">
        <v>191</v>
      </c>
    </row>
    <row r="302" spans="1:6" x14ac:dyDescent="0.2">
      <c r="A302">
        <v>22420029</v>
      </c>
      <c r="B302">
        <v>2019</v>
      </c>
      <c r="C302">
        <v>30.222301820054199</v>
      </c>
      <c r="D302" t="s">
        <v>368</v>
      </c>
      <c r="E302" t="s">
        <v>369</v>
      </c>
      <c r="F302" t="s">
        <v>49</v>
      </c>
    </row>
    <row r="303" spans="1:6" x14ac:dyDescent="0.2">
      <c r="A303">
        <v>22420029</v>
      </c>
      <c r="B303">
        <v>2016</v>
      </c>
      <c r="C303">
        <v>24.974457940742401</v>
      </c>
      <c r="D303" t="s">
        <v>368</v>
      </c>
      <c r="E303" t="s">
        <v>369</v>
      </c>
      <c r="F303" t="s">
        <v>49</v>
      </c>
    </row>
    <row r="304" spans="1:6" x14ac:dyDescent="0.2">
      <c r="A304">
        <v>50150081</v>
      </c>
      <c r="B304">
        <v>2019</v>
      </c>
      <c r="C304">
        <v>7.3091568243960898</v>
      </c>
      <c r="D304" t="s">
        <v>465</v>
      </c>
      <c r="E304" t="s">
        <v>466</v>
      </c>
      <c r="F304" t="s">
        <v>94</v>
      </c>
    </row>
    <row r="305" spans="1:6" x14ac:dyDescent="0.2">
      <c r="A305">
        <v>82831239</v>
      </c>
      <c r="B305">
        <v>2020</v>
      </c>
      <c r="C305">
        <v>28.791232371292001</v>
      </c>
      <c r="D305" t="s">
        <v>859</v>
      </c>
      <c r="E305" t="s">
        <v>860</v>
      </c>
      <c r="F305" t="s">
        <v>320</v>
      </c>
    </row>
    <row r="306" spans="1:6" x14ac:dyDescent="0.2">
      <c r="A306">
        <v>82831239</v>
      </c>
      <c r="B306">
        <v>2019</v>
      </c>
      <c r="C306">
        <v>24.183923330079299</v>
      </c>
      <c r="D306" t="s">
        <v>859</v>
      </c>
      <c r="E306" t="s">
        <v>860</v>
      </c>
      <c r="F306" t="s">
        <v>320</v>
      </c>
    </row>
    <row r="307" spans="1:6" x14ac:dyDescent="0.2">
      <c r="A307">
        <v>82831239</v>
      </c>
      <c r="B307">
        <v>2018</v>
      </c>
      <c r="C307">
        <v>33.921302578019002</v>
      </c>
      <c r="D307" t="s">
        <v>859</v>
      </c>
      <c r="E307" t="s">
        <v>860</v>
      </c>
      <c r="F307" t="s">
        <v>320</v>
      </c>
    </row>
    <row r="308" spans="1:6" x14ac:dyDescent="0.2">
      <c r="A308">
        <v>82831239</v>
      </c>
      <c r="B308">
        <v>2017</v>
      </c>
      <c r="C308">
        <v>33.564446186637902</v>
      </c>
      <c r="D308" t="s">
        <v>859</v>
      </c>
      <c r="E308" t="s">
        <v>860</v>
      </c>
      <c r="F308" t="s">
        <v>320</v>
      </c>
    </row>
    <row r="309" spans="1:6" x14ac:dyDescent="0.2">
      <c r="A309">
        <v>96713080</v>
      </c>
      <c r="B309">
        <v>2019</v>
      </c>
      <c r="C309">
        <v>60.606194987867703</v>
      </c>
      <c r="D309" t="s">
        <v>672</v>
      </c>
      <c r="E309" t="s">
        <v>32</v>
      </c>
      <c r="F309" t="s">
        <v>33</v>
      </c>
    </row>
    <row r="310" spans="1:6" x14ac:dyDescent="0.2">
      <c r="A310">
        <v>96713080</v>
      </c>
      <c r="B310">
        <v>2015</v>
      </c>
      <c r="C310">
        <v>51.419005102040799</v>
      </c>
      <c r="D310" t="s">
        <v>672</v>
      </c>
      <c r="E310" t="s">
        <v>32</v>
      </c>
      <c r="F310" t="s">
        <v>33</v>
      </c>
    </row>
    <row r="311" spans="1:6" x14ac:dyDescent="0.2">
      <c r="A311">
        <v>96713080</v>
      </c>
      <c r="B311">
        <v>2013</v>
      </c>
      <c r="C311">
        <v>58.653846153846203</v>
      </c>
      <c r="D311" t="s">
        <v>672</v>
      </c>
      <c r="E311" t="s">
        <v>32</v>
      </c>
      <c r="F311" t="s">
        <v>33</v>
      </c>
    </row>
    <row r="312" spans="1:6" x14ac:dyDescent="0.2">
      <c r="A312">
        <v>72919636</v>
      </c>
      <c r="B312">
        <v>2020</v>
      </c>
      <c r="C312">
        <v>62.914793823941501</v>
      </c>
      <c r="D312" t="s">
        <v>16</v>
      </c>
      <c r="E312"/>
      <c r="F312" t="s">
        <v>11</v>
      </c>
    </row>
    <row r="313" spans="1:6" x14ac:dyDescent="0.2">
      <c r="A313">
        <v>72919636</v>
      </c>
      <c r="B313">
        <v>2019</v>
      </c>
      <c r="C313">
        <v>52.435930699147299</v>
      </c>
      <c r="D313" t="s">
        <v>16</v>
      </c>
      <c r="E313"/>
      <c r="F313" t="s">
        <v>11</v>
      </c>
    </row>
    <row r="314" spans="1:6" x14ac:dyDescent="0.2">
      <c r="A314">
        <v>72919636</v>
      </c>
      <c r="B314">
        <v>2018</v>
      </c>
      <c r="C314">
        <v>62.913866577767699</v>
      </c>
      <c r="D314" t="s">
        <v>16</v>
      </c>
      <c r="E314"/>
      <c r="F314" t="s">
        <v>11</v>
      </c>
    </row>
    <row r="315" spans="1:6" x14ac:dyDescent="0.2">
      <c r="A315">
        <v>72919636</v>
      </c>
      <c r="B315">
        <v>2017</v>
      </c>
      <c r="C315">
        <v>49.859019324668203</v>
      </c>
      <c r="D315" t="s">
        <v>16</v>
      </c>
      <c r="E315"/>
      <c r="F315" t="s">
        <v>11</v>
      </c>
    </row>
    <row r="316" spans="1:6" x14ac:dyDescent="0.2">
      <c r="A316">
        <v>72919636</v>
      </c>
      <c r="B316">
        <v>2016</v>
      </c>
      <c r="C316">
        <v>53.933447603286297</v>
      </c>
      <c r="D316" t="s">
        <v>16</v>
      </c>
      <c r="E316"/>
      <c r="F316" t="s">
        <v>11</v>
      </c>
    </row>
    <row r="317" spans="1:6" x14ac:dyDescent="0.2">
      <c r="A317">
        <v>72919636</v>
      </c>
      <c r="B317">
        <v>2015</v>
      </c>
      <c r="C317">
        <v>52.705799400669797</v>
      </c>
      <c r="D317" t="s">
        <v>16</v>
      </c>
      <c r="E317"/>
      <c r="F317" t="s">
        <v>11</v>
      </c>
    </row>
    <row r="318" spans="1:6" x14ac:dyDescent="0.2">
      <c r="A318">
        <v>65811650</v>
      </c>
      <c r="B318">
        <v>2016</v>
      </c>
      <c r="C318">
        <v>33.454651332071599</v>
      </c>
      <c r="D318" t="s">
        <v>604</v>
      </c>
      <c r="E318" t="s">
        <v>18</v>
      </c>
      <c r="F318" t="s">
        <v>19</v>
      </c>
    </row>
    <row r="319" spans="1:6" x14ac:dyDescent="0.2">
      <c r="A319">
        <v>44133709</v>
      </c>
      <c r="B319">
        <v>2020</v>
      </c>
      <c r="C319">
        <v>66.284285714285701</v>
      </c>
      <c r="D319" t="s">
        <v>649</v>
      </c>
      <c r="E319" t="s">
        <v>650</v>
      </c>
      <c r="F319" t="s">
        <v>1126</v>
      </c>
    </row>
    <row r="320" spans="1:6" x14ac:dyDescent="0.2">
      <c r="A320">
        <v>44133709</v>
      </c>
      <c r="B320">
        <v>2019</v>
      </c>
      <c r="C320">
        <v>70.3333333333333</v>
      </c>
      <c r="D320" t="s">
        <v>649</v>
      </c>
      <c r="E320" t="s">
        <v>650</v>
      </c>
      <c r="F320" t="s">
        <v>1126</v>
      </c>
    </row>
    <row r="321" spans="1:6" x14ac:dyDescent="0.2">
      <c r="A321">
        <v>44133709</v>
      </c>
      <c r="B321">
        <v>2018</v>
      </c>
      <c r="C321">
        <v>67.181818181818201</v>
      </c>
      <c r="D321" t="s">
        <v>649</v>
      </c>
      <c r="E321" t="s">
        <v>650</v>
      </c>
      <c r="F321" t="s">
        <v>1126</v>
      </c>
    </row>
    <row r="322" spans="1:6" x14ac:dyDescent="0.2">
      <c r="A322">
        <v>44133709</v>
      </c>
      <c r="B322">
        <v>2017</v>
      </c>
      <c r="C322">
        <v>60.595999999999997</v>
      </c>
      <c r="D322" t="s">
        <v>649</v>
      </c>
      <c r="E322" t="s">
        <v>650</v>
      </c>
      <c r="F322" t="s">
        <v>1126</v>
      </c>
    </row>
    <row r="323" spans="1:6" x14ac:dyDescent="0.2">
      <c r="A323">
        <v>44133709</v>
      </c>
      <c r="B323">
        <v>2015</v>
      </c>
      <c r="C323">
        <v>56.597999999999999</v>
      </c>
      <c r="D323" t="s">
        <v>649</v>
      </c>
      <c r="E323" t="s">
        <v>650</v>
      </c>
      <c r="F323" t="s">
        <v>1126</v>
      </c>
    </row>
    <row r="324" spans="1:6" x14ac:dyDescent="0.2">
      <c r="A324">
        <v>50501108</v>
      </c>
      <c r="B324">
        <v>2020</v>
      </c>
      <c r="C324">
        <v>14.4950287807431</v>
      </c>
      <c r="D324" t="s">
        <v>639</v>
      </c>
      <c r="E324" t="s">
        <v>640</v>
      </c>
      <c r="F324" t="s">
        <v>127</v>
      </c>
    </row>
    <row r="325" spans="1:6" x14ac:dyDescent="0.2">
      <c r="A325">
        <v>50501108</v>
      </c>
      <c r="B325">
        <v>2019</v>
      </c>
      <c r="C325">
        <v>12.118491921005401</v>
      </c>
      <c r="D325" t="s">
        <v>639</v>
      </c>
      <c r="E325" t="s">
        <v>640</v>
      </c>
      <c r="F325" t="s">
        <v>127</v>
      </c>
    </row>
    <row r="326" spans="1:6" x14ac:dyDescent="0.2">
      <c r="A326">
        <v>29014405</v>
      </c>
      <c r="B326">
        <v>2015</v>
      </c>
      <c r="C326">
        <v>22.267833630237799</v>
      </c>
      <c r="D326" t="s">
        <v>759</v>
      </c>
      <c r="E326" t="s">
        <v>760</v>
      </c>
      <c r="F326" t="s">
        <v>144</v>
      </c>
    </row>
    <row r="327" spans="1:6" x14ac:dyDescent="0.2">
      <c r="A327">
        <v>89634111</v>
      </c>
      <c r="B327">
        <v>2020</v>
      </c>
      <c r="C327">
        <v>13.5905734661567</v>
      </c>
      <c r="D327" t="s">
        <v>118</v>
      </c>
      <c r="E327"/>
      <c r="F327" t="s">
        <v>119</v>
      </c>
    </row>
    <row r="328" spans="1:6" x14ac:dyDescent="0.2">
      <c r="A328">
        <v>89634111</v>
      </c>
      <c r="B328">
        <v>2019</v>
      </c>
      <c r="C328">
        <v>13.807708376578301</v>
      </c>
      <c r="D328" t="s">
        <v>118</v>
      </c>
      <c r="E328"/>
      <c r="F328" t="s">
        <v>119</v>
      </c>
    </row>
    <row r="329" spans="1:6" x14ac:dyDescent="0.2">
      <c r="A329">
        <v>89634111</v>
      </c>
      <c r="B329">
        <v>2018</v>
      </c>
      <c r="C329">
        <v>15.4415481181796</v>
      </c>
      <c r="D329" t="s">
        <v>118</v>
      </c>
      <c r="E329"/>
      <c r="F329" t="s">
        <v>119</v>
      </c>
    </row>
    <row r="330" spans="1:6" x14ac:dyDescent="0.2">
      <c r="A330">
        <v>89634111</v>
      </c>
      <c r="B330">
        <v>2017</v>
      </c>
      <c r="C330">
        <v>15.664068245330199</v>
      </c>
      <c r="D330" t="s">
        <v>118</v>
      </c>
      <c r="E330"/>
      <c r="F330" t="s">
        <v>119</v>
      </c>
    </row>
    <row r="331" spans="1:6" x14ac:dyDescent="0.2">
      <c r="A331">
        <v>89634111</v>
      </c>
      <c r="B331">
        <v>2016</v>
      </c>
      <c r="C331">
        <v>18.454256274447101</v>
      </c>
      <c r="D331" t="s">
        <v>118</v>
      </c>
      <c r="E331"/>
      <c r="F331" t="s">
        <v>119</v>
      </c>
    </row>
    <row r="332" spans="1:6" x14ac:dyDescent="0.2">
      <c r="A332">
        <v>89634111</v>
      </c>
      <c r="B332">
        <v>2015</v>
      </c>
      <c r="C332">
        <v>23.4044019632715</v>
      </c>
      <c r="D332" t="s">
        <v>118</v>
      </c>
      <c r="E332"/>
      <c r="F332" t="s">
        <v>119</v>
      </c>
    </row>
    <row r="333" spans="1:6" x14ac:dyDescent="0.2">
      <c r="A333">
        <v>89634111</v>
      </c>
      <c r="B333">
        <v>2014</v>
      </c>
      <c r="C333">
        <v>19.7138925336832</v>
      </c>
      <c r="D333" t="s">
        <v>118</v>
      </c>
      <c r="E333"/>
      <c r="F333" t="s">
        <v>119</v>
      </c>
    </row>
    <row r="334" spans="1:6" x14ac:dyDescent="0.2">
      <c r="A334">
        <v>89634111</v>
      </c>
      <c r="B334">
        <v>2013</v>
      </c>
      <c r="C334">
        <v>18.996103569633</v>
      </c>
      <c r="D334" t="s">
        <v>118</v>
      </c>
      <c r="E334"/>
      <c r="F334" t="s">
        <v>119</v>
      </c>
    </row>
    <row r="335" spans="1:6" x14ac:dyDescent="0.2">
      <c r="A335">
        <v>89634111</v>
      </c>
      <c r="B335">
        <v>2012</v>
      </c>
      <c r="C335">
        <v>27.032967032967001</v>
      </c>
      <c r="D335" t="s">
        <v>118</v>
      </c>
      <c r="E335"/>
      <c r="F335" t="s">
        <v>119</v>
      </c>
    </row>
    <row r="336" spans="1:6" x14ac:dyDescent="0.2">
      <c r="A336">
        <v>89634111</v>
      </c>
      <c r="B336">
        <v>2011</v>
      </c>
      <c r="C336">
        <v>25.502318392581099</v>
      </c>
      <c r="D336" t="s">
        <v>118</v>
      </c>
      <c r="E336"/>
      <c r="F336" t="s">
        <v>119</v>
      </c>
    </row>
    <row r="337" spans="1:6" x14ac:dyDescent="0.2">
      <c r="A337">
        <v>89634111</v>
      </c>
      <c r="B337">
        <v>2010</v>
      </c>
      <c r="C337">
        <v>17.595307917888601</v>
      </c>
      <c r="D337" t="s">
        <v>118</v>
      </c>
      <c r="E337"/>
      <c r="F337" t="s">
        <v>119</v>
      </c>
    </row>
    <row r="338" spans="1:6" x14ac:dyDescent="0.2">
      <c r="A338">
        <v>91036158</v>
      </c>
      <c r="B338">
        <v>2020</v>
      </c>
      <c r="C338">
        <v>51.903223831745898</v>
      </c>
      <c r="D338" t="s">
        <v>403</v>
      </c>
      <c r="E338" t="s">
        <v>404</v>
      </c>
      <c r="F338" t="s">
        <v>405</v>
      </c>
    </row>
    <row r="339" spans="1:6" x14ac:dyDescent="0.2">
      <c r="A339">
        <v>91036158</v>
      </c>
      <c r="B339">
        <v>2019</v>
      </c>
      <c r="C339">
        <v>55.636987131299897</v>
      </c>
      <c r="D339" t="s">
        <v>403</v>
      </c>
      <c r="E339" t="s">
        <v>404</v>
      </c>
      <c r="F339" t="s">
        <v>405</v>
      </c>
    </row>
    <row r="340" spans="1:6" x14ac:dyDescent="0.2">
      <c r="A340">
        <v>91036158</v>
      </c>
      <c r="B340">
        <v>2018</v>
      </c>
      <c r="C340">
        <v>45.457879104917502</v>
      </c>
      <c r="D340" t="s">
        <v>403</v>
      </c>
      <c r="E340" t="s">
        <v>404</v>
      </c>
      <c r="F340" t="s">
        <v>405</v>
      </c>
    </row>
    <row r="341" spans="1:6" x14ac:dyDescent="0.2">
      <c r="A341">
        <v>91036158</v>
      </c>
      <c r="B341">
        <v>2017</v>
      </c>
      <c r="C341">
        <v>50.059988004065701</v>
      </c>
      <c r="D341" t="s">
        <v>403</v>
      </c>
      <c r="E341" t="s">
        <v>404</v>
      </c>
      <c r="F341" t="s">
        <v>405</v>
      </c>
    </row>
    <row r="342" spans="1:6" x14ac:dyDescent="0.2">
      <c r="A342">
        <v>91036158</v>
      </c>
      <c r="B342">
        <v>2016</v>
      </c>
      <c r="C342">
        <v>66.683124050000401</v>
      </c>
      <c r="D342" t="s">
        <v>403</v>
      </c>
      <c r="E342" t="s">
        <v>404</v>
      </c>
      <c r="F342" t="s">
        <v>405</v>
      </c>
    </row>
    <row r="343" spans="1:6" x14ac:dyDescent="0.2">
      <c r="A343">
        <v>91036158</v>
      </c>
      <c r="B343">
        <v>2015</v>
      </c>
      <c r="C343">
        <v>63.670637428488099</v>
      </c>
      <c r="D343" t="s">
        <v>403</v>
      </c>
      <c r="E343" t="s">
        <v>404</v>
      </c>
      <c r="F343" t="s">
        <v>405</v>
      </c>
    </row>
    <row r="344" spans="1:6" x14ac:dyDescent="0.2">
      <c r="A344">
        <v>91036158</v>
      </c>
      <c r="B344">
        <v>2014</v>
      </c>
      <c r="C344">
        <v>62.197867079966002</v>
      </c>
      <c r="D344" t="s">
        <v>403</v>
      </c>
      <c r="E344" t="s">
        <v>404</v>
      </c>
      <c r="F344" t="s">
        <v>405</v>
      </c>
    </row>
    <row r="345" spans="1:6" x14ac:dyDescent="0.2">
      <c r="A345">
        <v>91036158</v>
      </c>
      <c r="B345">
        <v>2013</v>
      </c>
      <c r="C345">
        <v>66.546813584709497</v>
      </c>
      <c r="D345" t="s">
        <v>403</v>
      </c>
      <c r="E345" t="s">
        <v>404</v>
      </c>
      <c r="F345" t="s">
        <v>405</v>
      </c>
    </row>
    <row r="346" spans="1:6" x14ac:dyDescent="0.2">
      <c r="A346">
        <v>91036158</v>
      </c>
      <c r="B346">
        <v>2012</v>
      </c>
      <c r="C346">
        <v>60.210830004438499</v>
      </c>
      <c r="D346" t="s">
        <v>403</v>
      </c>
      <c r="E346" t="s">
        <v>404</v>
      </c>
      <c r="F346" t="s">
        <v>405</v>
      </c>
    </row>
    <row r="347" spans="1:6" x14ac:dyDescent="0.2">
      <c r="A347">
        <v>91036158</v>
      </c>
      <c r="B347">
        <v>2011</v>
      </c>
      <c r="C347">
        <v>46.6666666666667</v>
      </c>
      <c r="D347" t="s">
        <v>403</v>
      </c>
      <c r="E347" t="s">
        <v>404</v>
      </c>
      <c r="F347" t="s">
        <v>405</v>
      </c>
    </row>
    <row r="348" spans="1:6" x14ac:dyDescent="0.2">
      <c r="A348">
        <v>91036158</v>
      </c>
      <c r="B348">
        <v>2010</v>
      </c>
      <c r="C348">
        <v>56.6666666666667</v>
      </c>
      <c r="D348" t="s">
        <v>403</v>
      </c>
      <c r="E348" t="s">
        <v>404</v>
      </c>
      <c r="F348" t="s">
        <v>405</v>
      </c>
    </row>
    <row r="349" spans="1:6" x14ac:dyDescent="0.2">
      <c r="A349">
        <v>72887374</v>
      </c>
      <c r="B349">
        <v>2020</v>
      </c>
      <c r="C349">
        <v>37.403906931287302</v>
      </c>
      <c r="D349" t="s">
        <v>535</v>
      </c>
      <c r="E349" t="s">
        <v>536</v>
      </c>
      <c r="F349" t="s">
        <v>19</v>
      </c>
    </row>
    <row r="350" spans="1:6" x14ac:dyDescent="0.2">
      <c r="A350">
        <v>72887374</v>
      </c>
      <c r="B350">
        <v>2019</v>
      </c>
      <c r="C350">
        <v>32.856962299581099</v>
      </c>
      <c r="D350" t="s">
        <v>535</v>
      </c>
      <c r="E350" t="s">
        <v>536</v>
      </c>
      <c r="F350" t="s">
        <v>19</v>
      </c>
    </row>
    <row r="351" spans="1:6" x14ac:dyDescent="0.2">
      <c r="A351">
        <v>72887374</v>
      </c>
      <c r="B351">
        <v>2018</v>
      </c>
      <c r="C351">
        <v>40.585830105025501</v>
      </c>
      <c r="D351" t="s">
        <v>535</v>
      </c>
      <c r="E351" t="s">
        <v>536</v>
      </c>
      <c r="F351" t="s">
        <v>19</v>
      </c>
    </row>
    <row r="352" spans="1:6" x14ac:dyDescent="0.2">
      <c r="A352">
        <v>72887374</v>
      </c>
      <c r="B352">
        <v>2017</v>
      </c>
      <c r="C352">
        <v>39.0226809378185</v>
      </c>
      <c r="D352" t="s">
        <v>535</v>
      </c>
      <c r="E352" t="s">
        <v>536</v>
      </c>
      <c r="F352" t="s">
        <v>19</v>
      </c>
    </row>
    <row r="353" spans="1:6" x14ac:dyDescent="0.2">
      <c r="A353">
        <v>72887374</v>
      </c>
      <c r="B353">
        <v>2016</v>
      </c>
      <c r="C353">
        <v>28.796040180521199</v>
      </c>
      <c r="D353" t="s">
        <v>535</v>
      </c>
      <c r="E353" t="s">
        <v>536</v>
      </c>
      <c r="F353" t="s">
        <v>19</v>
      </c>
    </row>
    <row r="354" spans="1:6" x14ac:dyDescent="0.2">
      <c r="A354">
        <v>72887374</v>
      </c>
      <c r="B354">
        <v>2015</v>
      </c>
      <c r="C354">
        <v>32.506025666080397</v>
      </c>
      <c r="D354" t="s">
        <v>535</v>
      </c>
      <c r="E354" t="s">
        <v>536</v>
      </c>
      <c r="F354" t="s">
        <v>19</v>
      </c>
    </row>
    <row r="355" spans="1:6" x14ac:dyDescent="0.2">
      <c r="A355">
        <v>72887374</v>
      </c>
      <c r="B355">
        <v>2013</v>
      </c>
      <c r="C355">
        <v>32.575757575757599</v>
      </c>
      <c r="D355" t="s">
        <v>535</v>
      </c>
      <c r="E355" t="s">
        <v>536</v>
      </c>
      <c r="F355" t="s">
        <v>19</v>
      </c>
    </row>
    <row r="356" spans="1:6" x14ac:dyDescent="0.2">
      <c r="A356">
        <v>72887374</v>
      </c>
      <c r="B356">
        <v>2012</v>
      </c>
      <c r="C356">
        <v>26.6666666666667</v>
      </c>
      <c r="D356" t="s">
        <v>535</v>
      </c>
      <c r="E356" t="s">
        <v>536</v>
      </c>
      <c r="F356" t="s">
        <v>19</v>
      </c>
    </row>
    <row r="357" spans="1:6" x14ac:dyDescent="0.2">
      <c r="A357">
        <v>71119814</v>
      </c>
      <c r="B357">
        <v>2020</v>
      </c>
      <c r="C357">
        <v>22.753068510298998</v>
      </c>
      <c r="D357" t="s">
        <v>394</v>
      </c>
      <c r="E357" t="s">
        <v>395</v>
      </c>
      <c r="F357" t="s">
        <v>396</v>
      </c>
    </row>
    <row r="358" spans="1:6" x14ac:dyDescent="0.2">
      <c r="A358">
        <v>71119814</v>
      </c>
      <c r="B358">
        <v>2019</v>
      </c>
      <c r="C358">
        <v>23.947571211478099</v>
      </c>
      <c r="D358" t="s">
        <v>394</v>
      </c>
      <c r="E358" t="s">
        <v>395</v>
      </c>
      <c r="F358" t="s">
        <v>396</v>
      </c>
    </row>
    <row r="359" spans="1:6" x14ac:dyDescent="0.2">
      <c r="A359">
        <v>71119814</v>
      </c>
      <c r="B359">
        <v>2018</v>
      </c>
      <c r="C359">
        <v>24.386718574944599</v>
      </c>
      <c r="D359" t="s">
        <v>394</v>
      </c>
      <c r="E359" t="s">
        <v>395</v>
      </c>
      <c r="F359" t="s">
        <v>396</v>
      </c>
    </row>
    <row r="360" spans="1:6" x14ac:dyDescent="0.2">
      <c r="A360">
        <v>71119814</v>
      </c>
      <c r="B360">
        <v>2017</v>
      </c>
      <c r="C360">
        <v>18.690174381341901</v>
      </c>
      <c r="D360" t="s">
        <v>394</v>
      </c>
      <c r="E360" t="s">
        <v>395</v>
      </c>
      <c r="F360" t="s">
        <v>396</v>
      </c>
    </row>
    <row r="361" spans="1:6" x14ac:dyDescent="0.2">
      <c r="A361">
        <v>71119814</v>
      </c>
      <c r="B361">
        <v>2016</v>
      </c>
      <c r="C361">
        <v>14.836756713491001</v>
      </c>
      <c r="D361" t="s">
        <v>394</v>
      </c>
      <c r="E361" t="s">
        <v>395</v>
      </c>
      <c r="F361" t="s">
        <v>396</v>
      </c>
    </row>
    <row r="362" spans="1:6" x14ac:dyDescent="0.2">
      <c r="A362">
        <v>71119814</v>
      </c>
      <c r="B362">
        <v>2015</v>
      </c>
      <c r="C362">
        <v>14.4358092742903</v>
      </c>
      <c r="D362" t="s">
        <v>394</v>
      </c>
      <c r="E362" t="s">
        <v>395</v>
      </c>
      <c r="F362" t="s">
        <v>396</v>
      </c>
    </row>
    <row r="363" spans="1:6" x14ac:dyDescent="0.2">
      <c r="A363">
        <v>71119814</v>
      </c>
      <c r="B363">
        <v>2014</v>
      </c>
      <c r="C363">
        <v>19.195475249779498</v>
      </c>
      <c r="D363" t="s">
        <v>394</v>
      </c>
      <c r="E363" t="s">
        <v>395</v>
      </c>
      <c r="F363" t="s">
        <v>396</v>
      </c>
    </row>
    <row r="364" spans="1:6" x14ac:dyDescent="0.2">
      <c r="A364">
        <v>71119814</v>
      </c>
      <c r="B364">
        <v>2013</v>
      </c>
      <c r="C364">
        <v>20.768289869604299</v>
      </c>
      <c r="D364" t="s">
        <v>394</v>
      </c>
      <c r="E364" t="s">
        <v>395</v>
      </c>
      <c r="F364" t="s">
        <v>396</v>
      </c>
    </row>
    <row r="365" spans="1:6" x14ac:dyDescent="0.2">
      <c r="A365">
        <v>71119814</v>
      </c>
      <c r="B365">
        <v>2012</v>
      </c>
      <c r="C365">
        <v>23.576362647388901</v>
      </c>
      <c r="D365" t="s">
        <v>394</v>
      </c>
      <c r="E365" t="s">
        <v>395</v>
      </c>
      <c r="F365" t="s">
        <v>396</v>
      </c>
    </row>
    <row r="366" spans="1:6" x14ac:dyDescent="0.2">
      <c r="A366">
        <v>71119814</v>
      </c>
      <c r="B366">
        <v>2011</v>
      </c>
      <c r="C366">
        <v>26.570048309178699</v>
      </c>
      <c r="D366" t="s">
        <v>394</v>
      </c>
      <c r="E366" t="s">
        <v>395</v>
      </c>
      <c r="F366" t="s">
        <v>396</v>
      </c>
    </row>
    <row r="367" spans="1:6" x14ac:dyDescent="0.2">
      <c r="A367">
        <v>71119814</v>
      </c>
      <c r="B367">
        <v>2010</v>
      </c>
      <c r="C367">
        <v>16.872427983539101</v>
      </c>
      <c r="D367" t="s">
        <v>394</v>
      </c>
      <c r="E367" t="s">
        <v>395</v>
      </c>
      <c r="F367" t="s">
        <v>396</v>
      </c>
    </row>
    <row r="368" spans="1:6" x14ac:dyDescent="0.2">
      <c r="A368">
        <v>93463864</v>
      </c>
      <c r="B368">
        <v>2020</v>
      </c>
      <c r="C368">
        <v>58.571428571428598</v>
      </c>
      <c r="D368" t="s">
        <v>1036</v>
      </c>
      <c r="E368" t="s">
        <v>445</v>
      </c>
      <c r="F368" t="s">
        <v>1126</v>
      </c>
    </row>
    <row r="369" spans="1:6" x14ac:dyDescent="0.2">
      <c r="A369">
        <v>93463864</v>
      </c>
      <c r="B369">
        <v>2019</v>
      </c>
      <c r="C369">
        <v>60</v>
      </c>
      <c r="D369" t="s">
        <v>1036</v>
      </c>
      <c r="E369" t="s">
        <v>445</v>
      </c>
      <c r="F369" t="s">
        <v>1126</v>
      </c>
    </row>
    <row r="370" spans="1:6" x14ac:dyDescent="0.2">
      <c r="A370">
        <v>93463864</v>
      </c>
      <c r="B370">
        <v>2018</v>
      </c>
      <c r="C370">
        <v>62.142857142857103</v>
      </c>
      <c r="D370" t="s">
        <v>1036</v>
      </c>
      <c r="E370" t="s">
        <v>445</v>
      </c>
      <c r="F370" t="s">
        <v>1126</v>
      </c>
    </row>
    <row r="371" spans="1:6" x14ac:dyDescent="0.2">
      <c r="A371">
        <v>19806621</v>
      </c>
      <c r="B371">
        <v>2020</v>
      </c>
      <c r="C371">
        <v>75</v>
      </c>
      <c r="D371" t="s">
        <v>1059</v>
      </c>
      <c r="E371" t="s">
        <v>445</v>
      </c>
      <c r="F371" t="s">
        <v>1126</v>
      </c>
    </row>
    <row r="372" spans="1:6" x14ac:dyDescent="0.2">
      <c r="A372">
        <v>19806621</v>
      </c>
      <c r="B372">
        <v>2019</v>
      </c>
      <c r="C372">
        <v>60.8333333333333</v>
      </c>
      <c r="D372" t="s">
        <v>1059</v>
      </c>
      <c r="E372" t="s">
        <v>445</v>
      </c>
      <c r="F372" t="s">
        <v>1126</v>
      </c>
    </row>
    <row r="373" spans="1:6" x14ac:dyDescent="0.2">
      <c r="A373">
        <v>19806621</v>
      </c>
      <c r="B373">
        <v>2018</v>
      </c>
      <c r="C373">
        <v>63.8888888888889</v>
      </c>
      <c r="D373" t="s">
        <v>1059</v>
      </c>
      <c r="E373" t="s">
        <v>445</v>
      </c>
      <c r="F373" t="s">
        <v>1126</v>
      </c>
    </row>
    <row r="374" spans="1:6" x14ac:dyDescent="0.2">
      <c r="A374">
        <v>19806621</v>
      </c>
      <c r="B374">
        <v>2017</v>
      </c>
      <c r="C374">
        <v>53.6666666666667</v>
      </c>
      <c r="D374" t="s">
        <v>1059</v>
      </c>
      <c r="E374" t="s">
        <v>445</v>
      </c>
      <c r="F374" t="s">
        <v>1126</v>
      </c>
    </row>
    <row r="375" spans="1:6" x14ac:dyDescent="0.2">
      <c r="A375">
        <v>19806621</v>
      </c>
      <c r="B375">
        <v>2016</v>
      </c>
      <c r="C375">
        <v>72.5</v>
      </c>
      <c r="D375" t="s">
        <v>1059</v>
      </c>
      <c r="E375" t="s">
        <v>445</v>
      </c>
      <c r="F375" t="s">
        <v>1126</v>
      </c>
    </row>
    <row r="376" spans="1:6" x14ac:dyDescent="0.2">
      <c r="A376">
        <v>19806621</v>
      </c>
      <c r="B376">
        <v>2015</v>
      </c>
      <c r="C376">
        <v>53.99</v>
      </c>
      <c r="D376" t="s">
        <v>1059</v>
      </c>
      <c r="E376" t="s">
        <v>445</v>
      </c>
      <c r="F376" t="s">
        <v>1126</v>
      </c>
    </row>
    <row r="377" spans="1:6" x14ac:dyDescent="0.2">
      <c r="A377">
        <v>82038201</v>
      </c>
      <c r="B377">
        <v>2020</v>
      </c>
      <c r="C377">
        <v>22.4559042090799</v>
      </c>
      <c r="D377" t="s">
        <v>769</v>
      </c>
      <c r="E377" t="s">
        <v>770</v>
      </c>
      <c r="F377" t="s">
        <v>35</v>
      </c>
    </row>
    <row r="378" spans="1:6" x14ac:dyDescent="0.2">
      <c r="A378">
        <v>82038201</v>
      </c>
      <c r="B378">
        <v>2019</v>
      </c>
      <c r="C378">
        <v>28.8684257466109</v>
      </c>
      <c r="D378" t="s">
        <v>769</v>
      </c>
      <c r="E378" t="s">
        <v>770</v>
      </c>
      <c r="F378" t="s">
        <v>35</v>
      </c>
    </row>
    <row r="379" spans="1:6" x14ac:dyDescent="0.2">
      <c r="A379">
        <v>82038201</v>
      </c>
      <c r="B379">
        <v>2018</v>
      </c>
      <c r="C379">
        <v>34.515862823323701</v>
      </c>
      <c r="D379" t="s">
        <v>769</v>
      </c>
      <c r="E379" t="s">
        <v>770</v>
      </c>
      <c r="F379" t="s">
        <v>35</v>
      </c>
    </row>
    <row r="380" spans="1:6" x14ac:dyDescent="0.2">
      <c r="A380">
        <v>82038201</v>
      </c>
      <c r="B380">
        <v>2017</v>
      </c>
      <c r="C380">
        <v>38.059647401698797</v>
      </c>
      <c r="D380" t="s">
        <v>769</v>
      </c>
      <c r="E380" t="s">
        <v>770</v>
      </c>
      <c r="F380" t="s">
        <v>35</v>
      </c>
    </row>
    <row r="381" spans="1:6" x14ac:dyDescent="0.2">
      <c r="A381">
        <v>82038201</v>
      </c>
      <c r="B381">
        <v>2016</v>
      </c>
      <c r="C381">
        <v>24.640479552724901</v>
      </c>
      <c r="D381" t="s">
        <v>769</v>
      </c>
      <c r="E381" t="s">
        <v>770</v>
      </c>
      <c r="F381" t="s">
        <v>35</v>
      </c>
    </row>
    <row r="382" spans="1:6" x14ac:dyDescent="0.2">
      <c r="A382">
        <v>82038201</v>
      </c>
      <c r="B382">
        <v>2015</v>
      </c>
      <c r="C382">
        <v>20.8012750054957</v>
      </c>
      <c r="D382" t="s">
        <v>769</v>
      </c>
      <c r="E382" t="s">
        <v>770</v>
      </c>
      <c r="F382" t="s">
        <v>35</v>
      </c>
    </row>
    <row r="383" spans="1:6" x14ac:dyDescent="0.2">
      <c r="A383">
        <v>82038201</v>
      </c>
      <c r="B383">
        <v>2014</v>
      </c>
      <c r="C383">
        <v>30.277860999381701</v>
      </c>
      <c r="D383" t="s">
        <v>769</v>
      </c>
      <c r="E383" t="s">
        <v>770</v>
      </c>
      <c r="F383" t="s">
        <v>35</v>
      </c>
    </row>
    <row r="384" spans="1:6" x14ac:dyDescent="0.2">
      <c r="A384">
        <v>82038201</v>
      </c>
      <c r="B384">
        <v>2013</v>
      </c>
      <c r="C384">
        <v>41.658878504672899</v>
      </c>
      <c r="D384" t="s">
        <v>769</v>
      </c>
      <c r="E384" t="s">
        <v>770</v>
      </c>
      <c r="F384" t="s">
        <v>35</v>
      </c>
    </row>
    <row r="385" spans="1:6" x14ac:dyDescent="0.2">
      <c r="A385">
        <v>82038201</v>
      </c>
      <c r="B385">
        <v>2012</v>
      </c>
      <c r="C385">
        <v>40.012315270936</v>
      </c>
      <c r="D385" t="s">
        <v>769</v>
      </c>
      <c r="E385" t="s">
        <v>770</v>
      </c>
      <c r="F385" t="s">
        <v>35</v>
      </c>
    </row>
    <row r="386" spans="1:6" x14ac:dyDescent="0.2">
      <c r="A386">
        <v>82038201</v>
      </c>
      <c r="B386">
        <v>2011</v>
      </c>
      <c r="C386">
        <v>69.620253164556999</v>
      </c>
      <c r="D386" t="s">
        <v>769</v>
      </c>
      <c r="E386" t="s">
        <v>770</v>
      </c>
      <c r="F386" t="s">
        <v>35</v>
      </c>
    </row>
    <row r="387" spans="1:6" x14ac:dyDescent="0.2">
      <c r="A387">
        <v>66876861</v>
      </c>
      <c r="B387">
        <v>2020</v>
      </c>
      <c r="C387">
        <v>68.1666666666667</v>
      </c>
      <c r="D387" t="s">
        <v>1086</v>
      </c>
      <c r="E387" t="s">
        <v>470</v>
      </c>
      <c r="F387" t="s">
        <v>1126</v>
      </c>
    </row>
    <row r="388" spans="1:6" x14ac:dyDescent="0.2">
      <c r="A388">
        <v>66876861</v>
      </c>
      <c r="B388">
        <v>2019</v>
      </c>
      <c r="C388">
        <v>74.400000000000006</v>
      </c>
      <c r="D388" t="s">
        <v>1086</v>
      </c>
      <c r="E388" t="s">
        <v>470</v>
      </c>
      <c r="F388" t="s">
        <v>1126</v>
      </c>
    </row>
    <row r="389" spans="1:6" x14ac:dyDescent="0.2">
      <c r="A389">
        <v>66876861</v>
      </c>
      <c r="B389">
        <v>2018</v>
      </c>
      <c r="C389">
        <v>84.998000000000005</v>
      </c>
      <c r="D389" t="s">
        <v>1086</v>
      </c>
      <c r="E389" t="s">
        <v>470</v>
      </c>
      <c r="F389" t="s">
        <v>1126</v>
      </c>
    </row>
    <row r="390" spans="1:6" x14ac:dyDescent="0.2">
      <c r="A390">
        <v>66876861</v>
      </c>
      <c r="B390">
        <v>2016</v>
      </c>
      <c r="C390">
        <v>52.8</v>
      </c>
      <c r="D390" t="s">
        <v>1086</v>
      </c>
      <c r="E390" t="s">
        <v>470</v>
      </c>
      <c r="F390" t="s">
        <v>1126</v>
      </c>
    </row>
    <row r="391" spans="1:6" x14ac:dyDescent="0.2">
      <c r="A391">
        <v>88854160</v>
      </c>
      <c r="B391">
        <v>2020</v>
      </c>
      <c r="C391">
        <v>33.401100454922997</v>
      </c>
      <c r="D391" t="s">
        <v>89</v>
      </c>
      <c r="E391" t="s">
        <v>72</v>
      </c>
      <c r="F391" t="s">
        <v>49</v>
      </c>
    </row>
    <row r="392" spans="1:6" x14ac:dyDescent="0.2">
      <c r="A392">
        <v>88854160</v>
      </c>
      <c r="B392">
        <v>2016</v>
      </c>
      <c r="C392">
        <v>36.326484277443498</v>
      </c>
      <c r="D392" t="s">
        <v>89</v>
      </c>
      <c r="E392" t="s">
        <v>72</v>
      </c>
      <c r="F392" t="s">
        <v>49</v>
      </c>
    </row>
    <row r="393" spans="1:6" x14ac:dyDescent="0.2">
      <c r="A393">
        <v>88854160</v>
      </c>
      <c r="B393">
        <v>2015</v>
      </c>
      <c r="C393">
        <v>29.289617486338798</v>
      </c>
      <c r="D393" t="s">
        <v>89</v>
      </c>
      <c r="E393" t="s">
        <v>72</v>
      </c>
      <c r="F393" t="s">
        <v>49</v>
      </c>
    </row>
    <row r="394" spans="1:6" x14ac:dyDescent="0.2">
      <c r="A394">
        <v>63658395</v>
      </c>
      <c r="B394">
        <v>2020</v>
      </c>
      <c r="C394">
        <v>50.6661146140139</v>
      </c>
      <c r="D394" t="s">
        <v>645</v>
      </c>
      <c r="E394" t="s">
        <v>646</v>
      </c>
      <c r="F394" t="s">
        <v>78</v>
      </c>
    </row>
    <row r="395" spans="1:6" x14ac:dyDescent="0.2">
      <c r="A395">
        <v>63658395</v>
      </c>
      <c r="B395">
        <v>2019</v>
      </c>
      <c r="C395">
        <v>53.979791187188098</v>
      </c>
      <c r="D395" t="s">
        <v>645</v>
      </c>
      <c r="E395" t="s">
        <v>646</v>
      </c>
      <c r="F395" t="s">
        <v>78</v>
      </c>
    </row>
    <row r="396" spans="1:6" x14ac:dyDescent="0.2">
      <c r="A396">
        <v>63658395</v>
      </c>
      <c r="B396">
        <v>2018</v>
      </c>
      <c r="C396">
        <v>52.6371325537338</v>
      </c>
      <c r="D396" t="s">
        <v>645</v>
      </c>
      <c r="E396" t="s">
        <v>646</v>
      </c>
      <c r="F396" t="s">
        <v>78</v>
      </c>
    </row>
    <row r="397" spans="1:6" x14ac:dyDescent="0.2">
      <c r="A397">
        <v>63658395</v>
      </c>
      <c r="B397">
        <v>2017</v>
      </c>
      <c r="C397">
        <v>50.4095129384907</v>
      </c>
      <c r="D397" t="s">
        <v>645</v>
      </c>
      <c r="E397" t="s">
        <v>646</v>
      </c>
      <c r="F397" t="s">
        <v>78</v>
      </c>
    </row>
    <row r="398" spans="1:6" x14ac:dyDescent="0.2">
      <c r="A398">
        <v>63658395</v>
      </c>
      <c r="B398">
        <v>2016</v>
      </c>
      <c r="C398">
        <v>42.485751479548902</v>
      </c>
      <c r="D398" t="s">
        <v>645</v>
      </c>
      <c r="E398" t="s">
        <v>646</v>
      </c>
      <c r="F398" t="s">
        <v>78</v>
      </c>
    </row>
    <row r="399" spans="1:6" x14ac:dyDescent="0.2">
      <c r="A399">
        <v>63658395</v>
      </c>
      <c r="B399">
        <v>2015</v>
      </c>
      <c r="C399">
        <v>40.472207197574797</v>
      </c>
      <c r="D399" t="s">
        <v>645</v>
      </c>
      <c r="E399" t="s">
        <v>646</v>
      </c>
      <c r="F399" t="s">
        <v>78</v>
      </c>
    </row>
    <row r="400" spans="1:6" x14ac:dyDescent="0.2">
      <c r="A400">
        <v>63658395</v>
      </c>
      <c r="B400">
        <v>2014</v>
      </c>
      <c r="C400">
        <v>49.877391695998099</v>
      </c>
      <c r="D400" t="s">
        <v>645</v>
      </c>
      <c r="E400" t="s">
        <v>646</v>
      </c>
      <c r="F400" t="s">
        <v>78</v>
      </c>
    </row>
    <row r="401" spans="1:6" x14ac:dyDescent="0.2">
      <c r="A401">
        <v>63658395</v>
      </c>
      <c r="B401">
        <v>2012</v>
      </c>
      <c r="C401">
        <v>50.317282568122401</v>
      </c>
      <c r="D401" t="s">
        <v>645</v>
      </c>
      <c r="E401" t="s">
        <v>646</v>
      </c>
      <c r="F401" t="s">
        <v>78</v>
      </c>
    </row>
    <row r="402" spans="1:6" x14ac:dyDescent="0.2">
      <c r="A402">
        <v>28533939</v>
      </c>
      <c r="B402">
        <v>2020</v>
      </c>
      <c r="C402">
        <v>66.995999999999995</v>
      </c>
      <c r="D402" t="s">
        <v>1064</v>
      </c>
      <c r="E402" t="s">
        <v>5</v>
      </c>
      <c r="F402" t="s">
        <v>1126</v>
      </c>
    </row>
    <row r="403" spans="1:6" x14ac:dyDescent="0.2">
      <c r="A403">
        <v>28533939</v>
      </c>
      <c r="B403">
        <v>2019</v>
      </c>
      <c r="C403">
        <v>58.571428571428598</v>
      </c>
      <c r="D403" t="s">
        <v>1064</v>
      </c>
      <c r="E403" t="s">
        <v>5</v>
      </c>
      <c r="F403" t="s">
        <v>1126</v>
      </c>
    </row>
    <row r="404" spans="1:6" x14ac:dyDescent="0.2">
      <c r="A404">
        <v>28533939</v>
      </c>
      <c r="B404">
        <v>2018</v>
      </c>
      <c r="C404">
        <v>83.125</v>
      </c>
      <c r="D404" t="s">
        <v>1064</v>
      </c>
      <c r="E404" t="s">
        <v>5</v>
      </c>
      <c r="F404" t="s">
        <v>1126</v>
      </c>
    </row>
    <row r="405" spans="1:6" x14ac:dyDescent="0.2">
      <c r="A405">
        <v>28533939</v>
      </c>
      <c r="B405">
        <v>2016</v>
      </c>
      <c r="C405">
        <v>63</v>
      </c>
      <c r="D405" t="s">
        <v>1064</v>
      </c>
      <c r="E405" t="s">
        <v>5</v>
      </c>
      <c r="F405" t="s">
        <v>1126</v>
      </c>
    </row>
    <row r="406" spans="1:6" x14ac:dyDescent="0.2">
      <c r="A406">
        <v>22569700</v>
      </c>
      <c r="B406">
        <v>2020</v>
      </c>
      <c r="C406">
        <v>35.827083865576803</v>
      </c>
      <c r="D406" t="s">
        <v>6</v>
      </c>
      <c r="E406"/>
      <c r="F406" t="s">
        <v>7</v>
      </c>
    </row>
    <row r="407" spans="1:6" x14ac:dyDescent="0.2">
      <c r="A407">
        <v>22569700</v>
      </c>
      <c r="B407">
        <v>2019</v>
      </c>
      <c r="C407">
        <v>33.922920251878999</v>
      </c>
      <c r="D407" t="s">
        <v>6</v>
      </c>
      <c r="E407"/>
      <c r="F407" t="s">
        <v>7</v>
      </c>
    </row>
    <row r="408" spans="1:6" x14ac:dyDescent="0.2">
      <c r="A408">
        <v>22569700</v>
      </c>
      <c r="B408">
        <v>2018</v>
      </c>
      <c r="C408">
        <v>36.4396811503821</v>
      </c>
      <c r="D408" t="s">
        <v>6</v>
      </c>
      <c r="E408"/>
      <c r="F408" t="s">
        <v>7</v>
      </c>
    </row>
    <row r="409" spans="1:6" x14ac:dyDescent="0.2">
      <c r="A409">
        <v>22569700</v>
      </c>
      <c r="B409">
        <v>2017</v>
      </c>
      <c r="C409">
        <v>32.467125351137902</v>
      </c>
      <c r="D409" t="s">
        <v>6</v>
      </c>
      <c r="E409"/>
      <c r="F409" t="s">
        <v>7</v>
      </c>
    </row>
    <row r="410" spans="1:6" x14ac:dyDescent="0.2">
      <c r="A410">
        <v>22569700</v>
      </c>
      <c r="B410">
        <v>2016</v>
      </c>
      <c r="C410">
        <v>26.4706550119196</v>
      </c>
      <c r="D410" t="s">
        <v>6</v>
      </c>
      <c r="E410"/>
      <c r="F410" t="s">
        <v>7</v>
      </c>
    </row>
    <row r="411" spans="1:6" x14ac:dyDescent="0.2">
      <c r="A411">
        <v>22569700</v>
      </c>
      <c r="B411">
        <v>2015</v>
      </c>
      <c r="C411">
        <v>27.129709519700899</v>
      </c>
      <c r="D411" t="s">
        <v>6</v>
      </c>
      <c r="E411"/>
      <c r="F411" t="s">
        <v>7</v>
      </c>
    </row>
    <row r="412" spans="1:6" x14ac:dyDescent="0.2">
      <c r="A412">
        <v>22569700</v>
      </c>
      <c r="B412">
        <v>2014</v>
      </c>
      <c r="C412">
        <v>32.5658819794076</v>
      </c>
      <c r="D412" t="s">
        <v>6</v>
      </c>
      <c r="E412"/>
      <c r="F412" t="s">
        <v>7</v>
      </c>
    </row>
    <row r="413" spans="1:6" x14ac:dyDescent="0.2">
      <c r="A413">
        <v>22569700</v>
      </c>
      <c r="B413">
        <v>2013</v>
      </c>
      <c r="C413">
        <v>30.0510204081633</v>
      </c>
      <c r="D413" t="s">
        <v>6</v>
      </c>
      <c r="E413"/>
      <c r="F413" t="s">
        <v>7</v>
      </c>
    </row>
    <row r="414" spans="1:6" x14ac:dyDescent="0.2">
      <c r="A414">
        <v>22569700</v>
      </c>
      <c r="B414">
        <v>2012</v>
      </c>
      <c r="C414">
        <v>20.509259259259299</v>
      </c>
      <c r="D414" t="s">
        <v>6</v>
      </c>
      <c r="E414"/>
      <c r="F414" t="s">
        <v>7</v>
      </c>
    </row>
    <row r="415" spans="1:6" x14ac:dyDescent="0.2">
      <c r="A415">
        <v>22569700</v>
      </c>
      <c r="B415">
        <v>2011</v>
      </c>
      <c r="C415">
        <v>38.618357487922701</v>
      </c>
      <c r="D415" t="s">
        <v>6</v>
      </c>
      <c r="E415"/>
      <c r="F415" t="s">
        <v>7</v>
      </c>
    </row>
    <row r="416" spans="1:6" x14ac:dyDescent="0.2">
      <c r="A416">
        <v>22569700</v>
      </c>
      <c r="B416">
        <v>2010</v>
      </c>
      <c r="C416">
        <v>30.8641975308642</v>
      </c>
      <c r="D416" t="s">
        <v>6</v>
      </c>
      <c r="E416"/>
      <c r="F416" t="s">
        <v>7</v>
      </c>
    </row>
    <row r="417" spans="1:6" x14ac:dyDescent="0.2">
      <c r="A417">
        <v>49498443</v>
      </c>
      <c r="B417">
        <v>2019</v>
      </c>
      <c r="C417">
        <v>52.481369113964497</v>
      </c>
      <c r="D417" t="s">
        <v>9</v>
      </c>
      <c r="E417" t="s">
        <v>10</v>
      </c>
      <c r="F417" t="s">
        <v>11</v>
      </c>
    </row>
    <row r="418" spans="1:6" x14ac:dyDescent="0.2">
      <c r="A418">
        <v>49498443</v>
      </c>
      <c r="B418">
        <v>2017</v>
      </c>
      <c r="C418">
        <v>54.157210645760301</v>
      </c>
      <c r="D418" t="s">
        <v>9</v>
      </c>
      <c r="E418" t="s">
        <v>10</v>
      </c>
      <c r="F418" t="s">
        <v>11</v>
      </c>
    </row>
    <row r="419" spans="1:6" x14ac:dyDescent="0.2">
      <c r="A419">
        <v>49498443</v>
      </c>
      <c r="B419">
        <v>2016</v>
      </c>
      <c r="C419">
        <v>40.166873534684903</v>
      </c>
      <c r="D419" t="s">
        <v>9</v>
      </c>
      <c r="E419" t="s">
        <v>10</v>
      </c>
      <c r="F419" t="s">
        <v>11</v>
      </c>
    </row>
    <row r="420" spans="1:6" x14ac:dyDescent="0.2">
      <c r="A420">
        <v>49498443</v>
      </c>
      <c r="B420">
        <v>2015</v>
      </c>
      <c r="C420">
        <v>46.183677066807697</v>
      </c>
      <c r="D420" t="s">
        <v>9</v>
      </c>
      <c r="E420" t="s">
        <v>10</v>
      </c>
      <c r="F420" t="s">
        <v>11</v>
      </c>
    </row>
    <row r="421" spans="1:6" x14ac:dyDescent="0.2">
      <c r="A421">
        <v>49498443</v>
      </c>
      <c r="B421">
        <v>2013</v>
      </c>
      <c r="C421">
        <v>55.5555555555556</v>
      </c>
      <c r="D421" t="s">
        <v>9</v>
      </c>
      <c r="E421" t="s">
        <v>10</v>
      </c>
      <c r="F421" t="s">
        <v>11</v>
      </c>
    </row>
    <row r="422" spans="1:6" x14ac:dyDescent="0.2">
      <c r="A422">
        <v>49498443</v>
      </c>
      <c r="B422">
        <v>2012</v>
      </c>
      <c r="C422">
        <v>51.5463917525773</v>
      </c>
      <c r="D422" t="s">
        <v>9</v>
      </c>
      <c r="E422" t="s">
        <v>10</v>
      </c>
      <c r="F422" t="s">
        <v>11</v>
      </c>
    </row>
    <row r="423" spans="1:6" x14ac:dyDescent="0.2">
      <c r="A423">
        <v>90744475</v>
      </c>
      <c r="B423">
        <v>2020</v>
      </c>
      <c r="C423">
        <v>10.4349807592257</v>
      </c>
      <c r="D423" t="s">
        <v>881</v>
      </c>
      <c r="E423" t="s">
        <v>864</v>
      </c>
      <c r="F423" t="s">
        <v>137</v>
      </c>
    </row>
    <row r="424" spans="1:6" x14ac:dyDescent="0.2">
      <c r="A424">
        <v>90744475</v>
      </c>
      <c r="B424">
        <v>2018</v>
      </c>
      <c r="C424">
        <v>16.541507119223802</v>
      </c>
      <c r="D424" t="s">
        <v>881</v>
      </c>
      <c r="E424" t="s">
        <v>864</v>
      </c>
      <c r="F424" t="s">
        <v>137</v>
      </c>
    </row>
    <row r="425" spans="1:6" x14ac:dyDescent="0.2">
      <c r="A425">
        <v>90744475</v>
      </c>
      <c r="B425">
        <v>2016</v>
      </c>
      <c r="C425">
        <v>17.8435918739521</v>
      </c>
      <c r="D425" t="s">
        <v>881</v>
      </c>
      <c r="E425" t="s">
        <v>864</v>
      </c>
      <c r="F425" t="s">
        <v>137</v>
      </c>
    </row>
    <row r="426" spans="1:6" x14ac:dyDescent="0.2">
      <c r="A426">
        <v>90744475</v>
      </c>
      <c r="B426">
        <v>2014</v>
      </c>
      <c r="C426">
        <v>28.728396668181901</v>
      </c>
      <c r="D426" t="s">
        <v>881</v>
      </c>
      <c r="E426" t="s">
        <v>864</v>
      </c>
      <c r="F426" t="s">
        <v>137</v>
      </c>
    </row>
    <row r="427" spans="1:6" x14ac:dyDescent="0.2">
      <c r="A427">
        <v>26215122</v>
      </c>
      <c r="B427">
        <v>2020</v>
      </c>
      <c r="C427">
        <v>9.4311428211223394</v>
      </c>
      <c r="D427" t="s">
        <v>986</v>
      </c>
      <c r="E427" t="s">
        <v>987</v>
      </c>
      <c r="F427" t="s">
        <v>137</v>
      </c>
    </row>
    <row r="428" spans="1:6" x14ac:dyDescent="0.2">
      <c r="A428">
        <v>26215122</v>
      </c>
      <c r="B428">
        <v>2019</v>
      </c>
      <c r="C428">
        <v>10.0604633849435</v>
      </c>
      <c r="D428" t="s">
        <v>986</v>
      </c>
      <c r="E428" t="s">
        <v>987</v>
      </c>
      <c r="F428" t="s">
        <v>137</v>
      </c>
    </row>
    <row r="429" spans="1:6" x14ac:dyDescent="0.2">
      <c r="A429">
        <v>26215122</v>
      </c>
      <c r="B429">
        <v>2018</v>
      </c>
      <c r="C429">
        <v>12.3895559934074</v>
      </c>
      <c r="D429" t="s">
        <v>986</v>
      </c>
      <c r="E429" t="s">
        <v>987</v>
      </c>
      <c r="F429" t="s">
        <v>137</v>
      </c>
    </row>
    <row r="430" spans="1:6" x14ac:dyDescent="0.2">
      <c r="A430">
        <v>26215122</v>
      </c>
      <c r="B430">
        <v>2016</v>
      </c>
      <c r="C430">
        <v>18.296505367474801</v>
      </c>
      <c r="D430" t="s">
        <v>986</v>
      </c>
      <c r="E430" t="s">
        <v>987</v>
      </c>
      <c r="F430" t="s">
        <v>137</v>
      </c>
    </row>
    <row r="431" spans="1:6" x14ac:dyDescent="0.2">
      <c r="A431">
        <v>26215122</v>
      </c>
      <c r="B431">
        <v>2015</v>
      </c>
      <c r="C431">
        <v>17.685898443640902</v>
      </c>
      <c r="D431" t="s">
        <v>986</v>
      </c>
      <c r="E431" t="s">
        <v>987</v>
      </c>
      <c r="F431" t="s">
        <v>137</v>
      </c>
    </row>
    <row r="432" spans="1:6" x14ac:dyDescent="0.2">
      <c r="A432">
        <v>26215122</v>
      </c>
      <c r="B432">
        <v>2014</v>
      </c>
      <c r="C432">
        <v>17.175074792409202</v>
      </c>
      <c r="D432" t="s">
        <v>986</v>
      </c>
      <c r="E432" t="s">
        <v>987</v>
      </c>
      <c r="F432" t="s">
        <v>137</v>
      </c>
    </row>
    <row r="433" spans="1:6" x14ac:dyDescent="0.2">
      <c r="A433">
        <v>26215122</v>
      </c>
      <c r="B433">
        <v>2013</v>
      </c>
      <c r="C433">
        <v>19.372945638432402</v>
      </c>
      <c r="D433" t="s">
        <v>986</v>
      </c>
      <c r="E433" t="s">
        <v>987</v>
      </c>
      <c r="F433" t="s">
        <v>137</v>
      </c>
    </row>
    <row r="434" spans="1:6" x14ac:dyDescent="0.2">
      <c r="A434">
        <v>40022165</v>
      </c>
      <c r="B434">
        <v>2019</v>
      </c>
      <c r="C434">
        <v>56.638832299805202</v>
      </c>
      <c r="D434" t="s">
        <v>503</v>
      </c>
      <c r="E434" t="s">
        <v>504</v>
      </c>
      <c r="F434" t="s">
        <v>191</v>
      </c>
    </row>
    <row r="435" spans="1:6" x14ac:dyDescent="0.2">
      <c r="A435">
        <v>40022165</v>
      </c>
      <c r="B435">
        <v>2018</v>
      </c>
      <c r="C435">
        <v>46.712600724045302</v>
      </c>
      <c r="D435" t="s">
        <v>503</v>
      </c>
      <c r="E435" t="s">
        <v>504</v>
      </c>
      <c r="F435" t="s">
        <v>191</v>
      </c>
    </row>
    <row r="436" spans="1:6" x14ac:dyDescent="0.2">
      <c r="A436">
        <v>40022165</v>
      </c>
      <c r="B436">
        <v>2016</v>
      </c>
      <c r="C436">
        <v>34.056079010103304</v>
      </c>
      <c r="D436" t="s">
        <v>503</v>
      </c>
      <c r="E436" t="s">
        <v>504</v>
      </c>
      <c r="F436" t="s">
        <v>191</v>
      </c>
    </row>
    <row r="437" spans="1:6" x14ac:dyDescent="0.2">
      <c r="A437">
        <v>40022165</v>
      </c>
      <c r="B437">
        <v>2015</v>
      </c>
      <c r="C437">
        <v>32.786885245901601</v>
      </c>
      <c r="D437" t="s">
        <v>503</v>
      </c>
      <c r="E437" t="s">
        <v>504</v>
      </c>
      <c r="F437" t="s">
        <v>191</v>
      </c>
    </row>
    <row r="438" spans="1:6" x14ac:dyDescent="0.2">
      <c r="A438">
        <v>40022165</v>
      </c>
      <c r="B438">
        <v>2012</v>
      </c>
      <c r="C438">
        <v>27.7777777777778</v>
      </c>
      <c r="D438" t="s">
        <v>503</v>
      </c>
      <c r="E438" t="s">
        <v>504</v>
      </c>
      <c r="F438" t="s">
        <v>191</v>
      </c>
    </row>
    <row r="439" spans="1:6" x14ac:dyDescent="0.2">
      <c r="A439">
        <v>40022165</v>
      </c>
      <c r="B439">
        <v>2011</v>
      </c>
      <c r="C439">
        <v>43.478260869565197</v>
      </c>
      <c r="D439" t="s">
        <v>503</v>
      </c>
      <c r="E439" t="s">
        <v>504</v>
      </c>
      <c r="F439" t="s">
        <v>191</v>
      </c>
    </row>
    <row r="440" spans="1:6" x14ac:dyDescent="0.2">
      <c r="A440">
        <v>32950599</v>
      </c>
      <c r="B440">
        <v>2018</v>
      </c>
      <c r="C440">
        <v>62.8</v>
      </c>
      <c r="D440" t="s">
        <v>966</v>
      </c>
      <c r="E440" t="s">
        <v>967</v>
      </c>
      <c r="F440" t="s">
        <v>1126</v>
      </c>
    </row>
    <row r="441" spans="1:6" x14ac:dyDescent="0.2">
      <c r="A441">
        <v>46875622</v>
      </c>
      <c r="B441">
        <v>2020</v>
      </c>
      <c r="C441">
        <v>34.327226939292302</v>
      </c>
      <c r="D441" t="s">
        <v>306</v>
      </c>
      <c r="E441" t="s">
        <v>18</v>
      </c>
      <c r="F441" t="s">
        <v>19</v>
      </c>
    </row>
    <row r="442" spans="1:6" x14ac:dyDescent="0.2">
      <c r="A442">
        <v>26702280</v>
      </c>
      <c r="B442">
        <v>2019</v>
      </c>
      <c r="C442">
        <v>64</v>
      </c>
      <c r="D442" t="s">
        <v>306</v>
      </c>
      <c r="E442" t="s">
        <v>736</v>
      </c>
      <c r="F442" t="s">
        <v>1126</v>
      </c>
    </row>
    <row r="443" spans="1:6" x14ac:dyDescent="0.2">
      <c r="A443">
        <v>46875622</v>
      </c>
      <c r="B443">
        <v>2019</v>
      </c>
      <c r="C443">
        <v>38.169868554094997</v>
      </c>
      <c r="D443" t="s">
        <v>306</v>
      </c>
      <c r="E443" t="s">
        <v>18</v>
      </c>
      <c r="F443" t="s">
        <v>19</v>
      </c>
    </row>
    <row r="444" spans="1:6" x14ac:dyDescent="0.2">
      <c r="A444">
        <v>26702280</v>
      </c>
      <c r="B444">
        <v>2018</v>
      </c>
      <c r="C444">
        <v>51.75</v>
      </c>
      <c r="D444" t="s">
        <v>306</v>
      </c>
      <c r="E444" t="s">
        <v>736</v>
      </c>
      <c r="F444" t="s">
        <v>1126</v>
      </c>
    </row>
    <row r="445" spans="1:6" x14ac:dyDescent="0.2">
      <c r="A445">
        <v>46875622</v>
      </c>
      <c r="B445">
        <v>2018</v>
      </c>
      <c r="C445">
        <v>39.666861062418398</v>
      </c>
      <c r="D445" t="s">
        <v>306</v>
      </c>
      <c r="E445" t="s">
        <v>18</v>
      </c>
      <c r="F445" t="s">
        <v>19</v>
      </c>
    </row>
    <row r="446" spans="1:6" x14ac:dyDescent="0.2">
      <c r="A446">
        <v>26702280</v>
      </c>
      <c r="B446">
        <v>2017</v>
      </c>
      <c r="C446">
        <v>49.997999999999998</v>
      </c>
      <c r="D446" t="s">
        <v>306</v>
      </c>
      <c r="E446" t="s">
        <v>736</v>
      </c>
      <c r="F446" t="s">
        <v>1126</v>
      </c>
    </row>
    <row r="447" spans="1:6" x14ac:dyDescent="0.2">
      <c r="A447">
        <v>46875622</v>
      </c>
      <c r="B447">
        <v>2017</v>
      </c>
      <c r="C447">
        <v>32.660833616491097</v>
      </c>
      <c r="D447" t="s">
        <v>306</v>
      </c>
      <c r="E447" t="s">
        <v>18</v>
      </c>
      <c r="F447" t="s">
        <v>19</v>
      </c>
    </row>
    <row r="448" spans="1:6" x14ac:dyDescent="0.2">
      <c r="A448">
        <v>26702280</v>
      </c>
      <c r="B448">
        <v>2016</v>
      </c>
      <c r="C448">
        <v>44</v>
      </c>
      <c r="D448" t="s">
        <v>306</v>
      </c>
      <c r="E448" t="s">
        <v>736</v>
      </c>
      <c r="F448" t="s">
        <v>1126</v>
      </c>
    </row>
    <row r="449" spans="1:6" x14ac:dyDescent="0.2">
      <c r="A449">
        <v>46875622</v>
      </c>
      <c r="B449">
        <v>2016</v>
      </c>
      <c r="C449">
        <v>27.306255156014899</v>
      </c>
      <c r="D449" t="s">
        <v>306</v>
      </c>
      <c r="E449" t="s">
        <v>18</v>
      </c>
      <c r="F449" t="s">
        <v>19</v>
      </c>
    </row>
    <row r="450" spans="1:6" x14ac:dyDescent="0.2">
      <c r="A450">
        <v>26702280</v>
      </c>
      <c r="B450">
        <v>2015</v>
      </c>
      <c r="C450">
        <v>38</v>
      </c>
      <c r="D450" t="s">
        <v>306</v>
      </c>
      <c r="E450" t="s">
        <v>736</v>
      </c>
      <c r="F450" t="s">
        <v>1126</v>
      </c>
    </row>
    <row r="451" spans="1:6" x14ac:dyDescent="0.2">
      <c r="A451">
        <v>46875622</v>
      </c>
      <c r="B451">
        <v>2015</v>
      </c>
      <c r="C451">
        <v>32.788309122098497</v>
      </c>
      <c r="D451" t="s">
        <v>306</v>
      </c>
      <c r="E451" t="s">
        <v>18</v>
      </c>
      <c r="F451" t="s">
        <v>19</v>
      </c>
    </row>
    <row r="452" spans="1:6" x14ac:dyDescent="0.2">
      <c r="A452">
        <v>46875622</v>
      </c>
      <c r="B452">
        <v>2012</v>
      </c>
      <c r="C452">
        <v>30.769230769230798</v>
      </c>
      <c r="D452" t="s">
        <v>306</v>
      </c>
      <c r="E452" t="s">
        <v>18</v>
      </c>
      <c r="F452" t="s">
        <v>19</v>
      </c>
    </row>
    <row r="453" spans="1:6" x14ac:dyDescent="0.2">
      <c r="A453">
        <v>46875622</v>
      </c>
      <c r="B453">
        <v>2011</v>
      </c>
      <c r="C453">
        <v>22.122950819672099</v>
      </c>
      <c r="D453" t="s">
        <v>306</v>
      </c>
      <c r="E453" t="s">
        <v>18</v>
      </c>
      <c r="F453" t="s">
        <v>19</v>
      </c>
    </row>
    <row r="454" spans="1:6" x14ac:dyDescent="0.2">
      <c r="A454">
        <v>79375061</v>
      </c>
      <c r="B454">
        <v>2020</v>
      </c>
      <c r="C454">
        <v>16.789016881570198</v>
      </c>
      <c r="D454" t="s">
        <v>527</v>
      </c>
      <c r="E454"/>
      <c r="F454" t="s">
        <v>528</v>
      </c>
    </row>
    <row r="455" spans="1:6" x14ac:dyDescent="0.2">
      <c r="A455">
        <v>79375061</v>
      </c>
      <c r="B455">
        <v>2019</v>
      </c>
      <c r="C455">
        <v>19.793827204749601</v>
      </c>
      <c r="D455" t="s">
        <v>527</v>
      </c>
      <c r="E455"/>
      <c r="F455" t="s">
        <v>528</v>
      </c>
    </row>
    <row r="456" spans="1:6" x14ac:dyDescent="0.2">
      <c r="A456">
        <v>79375061</v>
      </c>
      <c r="B456">
        <v>2018</v>
      </c>
      <c r="C456">
        <v>16.079163510460901</v>
      </c>
      <c r="D456" t="s">
        <v>527</v>
      </c>
      <c r="E456"/>
      <c r="F456" t="s">
        <v>528</v>
      </c>
    </row>
    <row r="457" spans="1:6" x14ac:dyDescent="0.2">
      <c r="A457">
        <v>30398632</v>
      </c>
      <c r="B457">
        <v>2017</v>
      </c>
      <c r="C457">
        <v>48.997999999999998</v>
      </c>
      <c r="D457" t="s">
        <v>1081</v>
      </c>
      <c r="E457" t="s">
        <v>150</v>
      </c>
      <c r="F457" t="s">
        <v>1126</v>
      </c>
    </row>
    <row r="458" spans="1:6" x14ac:dyDescent="0.2">
      <c r="A458">
        <v>14988950</v>
      </c>
      <c r="B458">
        <v>2020</v>
      </c>
      <c r="C458">
        <v>28.2804023500812</v>
      </c>
      <c r="D458" t="s">
        <v>319</v>
      </c>
      <c r="E458"/>
      <c r="F458" t="s">
        <v>320</v>
      </c>
    </row>
    <row r="459" spans="1:6" x14ac:dyDescent="0.2">
      <c r="A459">
        <v>14988950</v>
      </c>
      <c r="B459">
        <v>2019</v>
      </c>
      <c r="C459">
        <v>31.672119825926199</v>
      </c>
      <c r="D459" t="s">
        <v>319</v>
      </c>
      <c r="E459"/>
      <c r="F459" t="s">
        <v>320</v>
      </c>
    </row>
    <row r="460" spans="1:6" x14ac:dyDescent="0.2">
      <c r="A460">
        <v>14988950</v>
      </c>
      <c r="B460">
        <v>2018</v>
      </c>
      <c r="C460">
        <v>34.959535013520401</v>
      </c>
      <c r="D460" t="s">
        <v>319</v>
      </c>
      <c r="E460"/>
      <c r="F460" t="s">
        <v>320</v>
      </c>
    </row>
    <row r="461" spans="1:6" x14ac:dyDescent="0.2">
      <c r="A461">
        <v>14988950</v>
      </c>
      <c r="B461">
        <v>2017</v>
      </c>
      <c r="C461">
        <v>33.864483772603101</v>
      </c>
      <c r="D461" t="s">
        <v>319</v>
      </c>
      <c r="E461"/>
      <c r="F461" t="s">
        <v>320</v>
      </c>
    </row>
    <row r="462" spans="1:6" x14ac:dyDescent="0.2">
      <c r="A462">
        <v>14988950</v>
      </c>
      <c r="B462">
        <v>2016</v>
      </c>
      <c r="C462">
        <v>26.436359886183102</v>
      </c>
      <c r="D462" t="s">
        <v>319</v>
      </c>
      <c r="E462"/>
      <c r="F462" t="s">
        <v>320</v>
      </c>
    </row>
    <row r="463" spans="1:6" x14ac:dyDescent="0.2">
      <c r="A463">
        <v>14988950</v>
      </c>
      <c r="B463">
        <v>2015</v>
      </c>
      <c r="C463">
        <v>31.0874578347354</v>
      </c>
      <c r="D463" t="s">
        <v>319</v>
      </c>
      <c r="E463"/>
      <c r="F463" t="s">
        <v>320</v>
      </c>
    </row>
    <row r="464" spans="1:6" x14ac:dyDescent="0.2">
      <c r="A464">
        <v>14988950</v>
      </c>
      <c r="B464">
        <v>2014</v>
      </c>
      <c r="C464">
        <v>37.1779969277666</v>
      </c>
      <c r="D464" t="s">
        <v>319</v>
      </c>
      <c r="E464"/>
      <c r="F464" t="s">
        <v>320</v>
      </c>
    </row>
    <row r="465" spans="1:6" x14ac:dyDescent="0.2">
      <c r="A465">
        <v>14988950</v>
      </c>
      <c r="B465">
        <v>2013</v>
      </c>
      <c r="C465">
        <v>36.8227248816412</v>
      </c>
      <c r="D465" t="s">
        <v>319</v>
      </c>
      <c r="E465"/>
      <c r="F465" t="s">
        <v>320</v>
      </c>
    </row>
    <row r="466" spans="1:6" x14ac:dyDescent="0.2">
      <c r="A466">
        <v>14988950</v>
      </c>
      <c r="B466">
        <v>2012</v>
      </c>
      <c r="C466">
        <v>45.888511971358298</v>
      </c>
      <c r="D466" t="s">
        <v>319</v>
      </c>
      <c r="E466"/>
      <c r="F466" t="s">
        <v>320</v>
      </c>
    </row>
    <row r="467" spans="1:6" x14ac:dyDescent="0.2">
      <c r="A467">
        <v>14988950</v>
      </c>
      <c r="B467">
        <v>2011</v>
      </c>
      <c r="C467">
        <v>27.2543333333333</v>
      </c>
      <c r="D467" t="s">
        <v>319</v>
      </c>
      <c r="E467"/>
      <c r="F467" t="s">
        <v>320</v>
      </c>
    </row>
    <row r="468" spans="1:6" x14ac:dyDescent="0.2">
      <c r="A468">
        <v>92301424</v>
      </c>
      <c r="B468">
        <v>2020</v>
      </c>
      <c r="C468">
        <v>63.913397811201101</v>
      </c>
      <c r="D468" t="s">
        <v>699</v>
      </c>
      <c r="E468" t="s">
        <v>700</v>
      </c>
      <c r="F468" t="s">
        <v>1126</v>
      </c>
    </row>
    <row r="469" spans="1:6" x14ac:dyDescent="0.2">
      <c r="A469">
        <v>92301424</v>
      </c>
      <c r="B469">
        <v>2019</v>
      </c>
      <c r="C469">
        <v>57.0833333333333</v>
      </c>
      <c r="D469" t="s">
        <v>699</v>
      </c>
      <c r="E469" t="s">
        <v>700</v>
      </c>
      <c r="F469" t="s">
        <v>1126</v>
      </c>
    </row>
    <row r="470" spans="1:6" x14ac:dyDescent="0.2">
      <c r="A470">
        <v>92301424</v>
      </c>
      <c r="B470">
        <v>2018</v>
      </c>
      <c r="C470">
        <v>57.857142857142897</v>
      </c>
      <c r="D470" t="s">
        <v>699</v>
      </c>
      <c r="E470" t="s">
        <v>700</v>
      </c>
      <c r="F470" t="s">
        <v>1126</v>
      </c>
    </row>
    <row r="471" spans="1:6" x14ac:dyDescent="0.2">
      <c r="A471">
        <v>92301424</v>
      </c>
      <c r="B471">
        <v>2017</v>
      </c>
      <c r="C471">
        <v>53.3888888888889</v>
      </c>
      <c r="D471" t="s">
        <v>699</v>
      </c>
      <c r="E471" t="s">
        <v>700</v>
      </c>
      <c r="F471" t="s">
        <v>1126</v>
      </c>
    </row>
    <row r="472" spans="1:6" x14ac:dyDescent="0.2">
      <c r="A472">
        <v>92301424</v>
      </c>
      <c r="B472">
        <v>2016</v>
      </c>
      <c r="C472">
        <v>46.066666666666698</v>
      </c>
      <c r="D472" t="s">
        <v>699</v>
      </c>
      <c r="E472" t="s">
        <v>700</v>
      </c>
      <c r="F472" t="s">
        <v>1126</v>
      </c>
    </row>
    <row r="473" spans="1:6" x14ac:dyDescent="0.2">
      <c r="A473">
        <v>92301424</v>
      </c>
      <c r="B473">
        <v>2015</v>
      </c>
      <c r="C473">
        <v>47.2222222222222</v>
      </c>
      <c r="D473" t="s">
        <v>699</v>
      </c>
      <c r="E473" t="s">
        <v>700</v>
      </c>
      <c r="F473" t="s">
        <v>1126</v>
      </c>
    </row>
    <row r="474" spans="1:6" x14ac:dyDescent="0.2">
      <c r="A474">
        <v>92301424</v>
      </c>
      <c r="B474">
        <v>2013</v>
      </c>
      <c r="C474">
        <v>42.497500000000002</v>
      </c>
      <c r="D474" t="s">
        <v>699</v>
      </c>
      <c r="E474" t="s">
        <v>700</v>
      </c>
      <c r="F474" t="s">
        <v>1126</v>
      </c>
    </row>
    <row r="475" spans="1:6" x14ac:dyDescent="0.2">
      <c r="A475">
        <v>96450622</v>
      </c>
      <c r="B475">
        <v>2020</v>
      </c>
      <c r="C475">
        <v>32.800737085207601</v>
      </c>
      <c r="D475" t="s">
        <v>272</v>
      </c>
      <c r="E475" t="s">
        <v>48</v>
      </c>
      <c r="F475" t="s">
        <v>49</v>
      </c>
    </row>
    <row r="476" spans="1:6" x14ac:dyDescent="0.2">
      <c r="A476">
        <v>96450622</v>
      </c>
      <c r="B476">
        <v>2019</v>
      </c>
      <c r="C476">
        <v>30.890177378793599</v>
      </c>
      <c r="D476" t="s">
        <v>272</v>
      </c>
      <c r="E476" t="s">
        <v>48</v>
      </c>
      <c r="F476" t="s">
        <v>49</v>
      </c>
    </row>
    <row r="477" spans="1:6" x14ac:dyDescent="0.2">
      <c r="A477">
        <v>96450622</v>
      </c>
      <c r="B477">
        <v>2018</v>
      </c>
      <c r="C477">
        <v>31.375296819650401</v>
      </c>
      <c r="D477" t="s">
        <v>272</v>
      </c>
      <c r="E477" t="s">
        <v>48</v>
      </c>
      <c r="F477" t="s">
        <v>49</v>
      </c>
    </row>
    <row r="478" spans="1:6" x14ac:dyDescent="0.2">
      <c r="A478">
        <v>96450622</v>
      </c>
      <c r="B478">
        <v>2017</v>
      </c>
      <c r="C478">
        <v>31.042625086512199</v>
      </c>
      <c r="D478" t="s">
        <v>272</v>
      </c>
      <c r="E478" t="s">
        <v>48</v>
      </c>
      <c r="F478" t="s">
        <v>49</v>
      </c>
    </row>
    <row r="479" spans="1:6" x14ac:dyDescent="0.2">
      <c r="A479">
        <v>96450622</v>
      </c>
      <c r="B479">
        <v>2016</v>
      </c>
      <c r="C479">
        <v>32.314678170053398</v>
      </c>
      <c r="D479" t="s">
        <v>272</v>
      </c>
      <c r="E479" t="s">
        <v>48</v>
      </c>
      <c r="F479" t="s">
        <v>49</v>
      </c>
    </row>
    <row r="480" spans="1:6" x14ac:dyDescent="0.2">
      <c r="A480">
        <v>96450622</v>
      </c>
      <c r="B480">
        <v>2015</v>
      </c>
      <c r="C480">
        <v>28.901032179720701</v>
      </c>
      <c r="D480" t="s">
        <v>272</v>
      </c>
      <c r="E480" t="s">
        <v>48</v>
      </c>
      <c r="F480" t="s">
        <v>49</v>
      </c>
    </row>
    <row r="481" spans="1:6" x14ac:dyDescent="0.2">
      <c r="A481">
        <v>96450622</v>
      </c>
      <c r="B481">
        <v>2014</v>
      </c>
      <c r="C481">
        <v>31.566199482922801</v>
      </c>
      <c r="D481" t="s">
        <v>272</v>
      </c>
      <c r="E481" t="s">
        <v>48</v>
      </c>
      <c r="F481" t="s">
        <v>49</v>
      </c>
    </row>
    <row r="482" spans="1:6" x14ac:dyDescent="0.2">
      <c r="A482">
        <v>96450622</v>
      </c>
      <c r="B482">
        <v>2013</v>
      </c>
      <c r="C482">
        <v>32.4675324675325</v>
      </c>
      <c r="D482" t="s">
        <v>272</v>
      </c>
      <c r="E482" t="s">
        <v>48</v>
      </c>
      <c r="F482" t="s">
        <v>49</v>
      </c>
    </row>
    <row r="483" spans="1:6" x14ac:dyDescent="0.2">
      <c r="A483">
        <v>96450622</v>
      </c>
      <c r="B483">
        <v>2012</v>
      </c>
      <c r="C483">
        <v>28.1111111111111</v>
      </c>
      <c r="D483" t="s">
        <v>272</v>
      </c>
      <c r="E483" t="s">
        <v>48</v>
      </c>
      <c r="F483" t="s">
        <v>49</v>
      </c>
    </row>
    <row r="484" spans="1:6" x14ac:dyDescent="0.2">
      <c r="A484">
        <v>81454769</v>
      </c>
      <c r="B484">
        <v>2020</v>
      </c>
      <c r="C484">
        <v>40.558479123835099</v>
      </c>
      <c r="D484" t="s">
        <v>79</v>
      </c>
      <c r="E484" t="s">
        <v>55</v>
      </c>
      <c r="F484" t="s">
        <v>7</v>
      </c>
    </row>
    <row r="485" spans="1:6" x14ac:dyDescent="0.2">
      <c r="A485">
        <v>81454769</v>
      </c>
      <c r="B485">
        <v>2019</v>
      </c>
      <c r="C485">
        <v>34.5112568746409</v>
      </c>
      <c r="D485" t="s">
        <v>79</v>
      </c>
      <c r="E485" t="s">
        <v>55</v>
      </c>
      <c r="F485" t="s">
        <v>7</v>
      </c>
    </row>
    <row r="486" spans="1:6" x14ac:dyDescent="0.2">
      <c r="A486">
        <v>81454769</v>
      </c>
      <c r="B486">
        <v>2018</v>
      </c>
      <c r="C486">
        <v>29.000739616178102</v>
      </c>
      <c r="D486" t="s">
        <v>79</v>
      </c>
      <c r="E486" t="s">
        <v>55</v>
      </c>
      <c r="F486" t="s">
        <v>7</v>
      </c>
    </row>
    <row r="487" spans="1:6" x14ac:dyDescent="0.2">
      <c r="A487">
        <v>81454769</v>
      </c>
      <c r="B487">
        <v>2017</v>
      </c>
      <c r="C487">
        <v>31.124048365427701</v>
      </c>
      <c r="D487" t="s">
        <v>79</v>
      </c>
      <c r="E487" t="s">
        <v>55</v>
      </c>
      <c r="F487" t="s">
        <v>7</v>
      </c>
    </row>
    <row r="488" spans="1:6" x14ac:dyDescent="0.2">
      <c r="A488">
        <v>46116634</v>
      </c>
      <c r="B488">
        <v>2019</v>
      </c>
      <c r="C488">
        <v>28.783144590527801</v>
      </c>
      <c r="D488" t="s">
        <v>179</v>
      </c>
      <c r="E488"/>
      <c r="F488" t="s">
        <v>28</v>
      </c>
    </row>
    <row r="489" spans="1:6" x14ac:dyDescent="0.2">
      <c r="A489">
        <v>46116634</v>
      </c>
      <c r="B489">
        <v>2018</v>
      </c>
      <c r="C489">
        <v>37.934524504651797</v>
      </c>
      <c r="D489" t="s">
        <v>179</v>
      </c>
      <c r="E489"/>
      <c r="F489" t="s">
        <v>28</v>
      </c>
    </row>
    <row r="490" spans="1:6" x14ac:dyDescent="0.2">
      <c r="A490">
        <v>46116634</v>
      </c>
      <c r="B490">
        <v>2017</v>
      </c>
      <c r="C490">
        <v>28.884908195253001</v>
      </c>
      <c r="D490" t="s">
        <v>179</v>
      </c>
      <c r="E490"/>
      <c r="F490" t="s">
        <v>28</v>
      </c>
    </row>
    <row r="491" spans="1:6" x14ac:dyDescent="0.2">
      <c r="A491">
        <v>46116634</v>
      </c>
      <c r="B491">
        <v>2016</v>
      </c>
      <c r="C491">
        <v>33.866878571158303</v>
      </c>
      <c r="D491" t="s">
        <v>179</v>
      </c>
      <c r="E491"/>
      <c r="F491" t="s">
        <v>28</v>
      </c>
    </row>
    <row r="492" spans="1:6" x14ac:dyDescent="0.2">
      <c r="A492">
        <v>37352454</v>
      </c>
      <c r="B492">
        <v>2020</v>
      </c>
      <c r="C492">
        <v>66.451923076923094</v>
      </c>
      <c r="D492" t="s">
        <v>29</v>
      </c>
      <c r="E492" t="s">
        <v>30</v>
      </c>
      <c r="F492" t="s">
        <v>1126</v>
      </c>
    </row>
    <row r="493" spans="1:6" x14ac:dyDescent="0.2">
      <c r="A493">
        <v>37352454</v>
      </c>
      <c r="B493">
        <v>2019</v>
      </c>
      <c r="C493">
        <v>67.702903225806494</v>
      </c>
      <c r="D493" t="s">
        <v>29</v>
      </c>
      <c r="E493" t="s">
        <v>30</v>
      </c>
      <c r="F493" t="s">
        <v>1126</v>
      </c>
    </row>
    <row r="494" spans="1:6" x14ac:dyDescent="0.2">
      <c r="A494">
        <v>37352454</v>
      </c>
      <c r="B494">
        <v>2018</v>
      </c>
      <c r="C494">
        <v>64.773571428571401</v>
      </c>
      <c r="D494" t="s">
        <v>29</v>
      </c>
      <c r="E494" t="s">
        <v>30</v>
      </c>
      <c r="F494" t="s">
        <v>1126</v>
      </c>
    </row>
    <row r="495" spans="1:6" x14ac:dyDescent="0.2">
      <c r="A495">
        <v>37352454</v>
      </c>
      <c r="B495">
        <v>2017</v>
      </c>
      <c r="C495">
        <v>63.289210526315799</v>
      </c>
      <c r="D495" t="s">
        <v>29</v>
      </c>
      <c r="E495" t="s">
        <v>30</v>
      </c>
      <c r="F495" t="s">
        <v>1126</v>
      </c>
    </row>
    <row r="496" spans="1:6" x14ac:dyDescent="0.2">
      <c r="A496">
        <v>37352454</v>
      </c>
      <c r="B496">
        <v>2016</v>
      </c>
      <c r="C496">
        <v>55.292439024390198</v>
      </c>
      <c r="D496" t="s">
        <v>29</v>
      </c>
      <c r="E496" t="s">
        <v>30</v>
      </c>
      <c r="F496" t="s">
        <v>1126</v>
      </c>
    </row>
    <row r="497" spans="1:6" x14ac:dyDescent="0.2">
      <c r="A497">
        <v>37352454</v>
      </c>
      <c r="B497">
        <v>2015</v>
      </c>
      <c r="C497">
        <v>51.275862068965502</v>
      </c>
      <c r="D497" t="s">
        <v>29</v>
      </c>
      <c r="E497" t="s">
        <v>30</v>
      </c>
      <c r="F497" t="s">
        <v>1126</v>
      </c>
    </row>
    <row r="498" spans="1:6" x14ac:dyDescent="0.2">
      <c r="A498">
        <v>37352454</v>
      </c>
      <c r="B498">
        <v>2014</v>
      </c>
      <c r="C498">
        <v>54.562857142857098</v>
      </c>
      <c r="D498" t="s">
        <v>29</v>
      </c>
      <c r="E498" t="s">
        <v>30</v>
      </c>
      <c r="F498" t="s">
        <v>1126</v>
      </c>
    </row>
    <row r="499" spans="1:6" x14ac:dyDescent="0.2">
      <c r="A499">
        <v>37352454</v>
      </c>
      <c r="B499">
        <v>2013</v>
      </c>
      <c r="C499">
        <v>56.123750000000001</v>
      </c>
      <c r="D499" t="s">
        <v>29</v>
      </c>
      <c r="E499" t="s">
        <v>30</v>
      </c>
      <c r="F499" t="s">
        <v>1126</v>
      </c>
    </row>
    <row r="500" spans="1:6" x14ac:dyDescent="0.2">
      <c r="A500">
        <v>37352454</v>
      </c>
      <c r="B500">
        <v>2012</v>
      </c>
      <c r="C500">
        <v>52.75</v>
      </c>
      <c r="D500" t="s">
        <v>29</v>
      </c>
      <c r="E500" t="s">
        <v>30</v>
      </c>
      <c r="F500" t="s">
        <v>1126</v>
      </c>
    </row>
    <row r="501" spans="1:6" x14ac:dyDescent="0.2">
      <c r="A501">
        <v>37352454</v>
      </c>
      <c r="B501">
        <v>2011</v>
      </c>
      <c r="C501">
        <v>30</v>
      </c>
      <c r="D501" t="s">
        <v>29</v>
      </c>
      <c r="E501" t="s">
        <v>30</v>
      </c>
      <c r="F501" t="s">
        <v>1126</v>
      </c>
    </row>
    <row r="502" spans="1:6" x14ac:dyDescent="0.2">
      <c r="A502">
        <v>37352454</v>
      </c>
      <c r="B502">
        <v>2010</v>
      </c>
      <c r="C502">
        <v>51.6666666666667</v>
      </c>
      <c r="D502" t="s">
        <v>29</v>
      </c>
      <c r="E502" t="s">
        <v>30</v>
      </c>
      <c r="F502" t="s">
        <v>1126</v>
      </c>
    </row>
    <row r="503" spans="1:6" x14ac:dyDescent="0.2">
      <c r="A503">
        <v>96121484</v>
      </c>
      <c r="B503">
        <v>2020</v>
      </c>
      <c r="C503">
        <v>48.997999999999998</v>
      </c>
      <c r="D503" t="s">
        <v>1015</v>
      </c>
      <c r="E503" t="s">
        <v>570</v>
      </c>
      <c r="F503" t="s">
        <v>1126</v>
      </c>
    </row>
    <row r="504" spans="1:6" x14ac:dyDescent="0.2">
      <c r="A504">
        <v>96121484</v>
      </c>
      <c r="B504">
        <v>2019</v>
      </c>
      <c r="C504">
        <v>75.125</v>
      </c>
      <c r="D504" t="s">
        <v>1015</v>
      </c>
      <c r="E504" t="s">
        <v>570</v>
      </c>
      <c r="F504" t="s">
        <v>1126</v>
      </c>
    </row>
    <row r="505" spans="1:6" x14ac:dyDescent="0.2">
      <c r="A505">
        <v>96121484</v>
      </c>
      <c r="B505">
        <v>2018</v>
      </c>
      <c r="C505">
        <v>51.8</v>
      </c>
      <c r="D505" t="s">
        <v>1015</v>
      </c>
      <c r="E505" t="s">
        <v>570</v>
      </c>
      <c r="F505" t="s">
        <v>1126</v>
      </c>
    </row>
    <row r="506" spans="1:6" x14ac:dyDescent="0.2">
      <c r="A506">
        <v>96121484</v>
      </c>
      <c r="B506">
        <v>2017</v>
      </c>
      <c r="C506">
        <v>60.831666666666699</v>
      </c>
      <c r="D506" t="s">
        <v>1015</v>
      </c>
      <c r="E506" t="s">
        <v>570</v>
      </c>
      <c r="F506" t="s">
        <v>1126</v>
      </c>
    </row>
    <row r="507" spans="1:6" x14ac:dyDescent="0.2">
      <c r="A507">
        <v>96121484</v>
      </c>
      <c r="B507">
        <v>2016</v>
      </c>
      <c r="C507">
        <v>47.997999999999998</v>
      </c>
      <c r="D507" t="s">
        <v>1015</v>
      </c>
      <c r="E507" t="s">
        <v>570</v>
      </c>
      <c r="F507" t="s">
        <v>1126</v>
      </c>
    </row>
    <row r="508" spans="1:6" x14ac:dyDescent="0.2">
      <c r="A508">
        <v>96121484</v>
      </c>
      <c r="B508">
        <v>2015</v>
      </c>
      <c r="C508">
        <v>61</v>
      </c>
      <c r="D508" t="s">
        <v>1015</v>
      </c>
      <c r="E508" t="s">
        <v>570</v>
      </c>
      <c r="F508" t="s">
        <v>1126</v>
      </c>
    </row>
    <row r="509" spans="1:6" x14ac:dyDescent="0.2">
      <c r="A509">
        <v>19062118</v>
      </c>
      <c r="B509">
        <v>2019</v>
      </c>
      <c r="C509">
        <v>40.444893832153703</v>
      </c>
      <c r="D509" t="s">
        <v>979</v>
      </c>
      <c r="E509"/>
      <c r="F509" t="s">
        <v>19</v>
      </c>
    </row>
    <row r="510" spans="1:6" x14ac:dyDescent="0.2">
      <c r="A510">
        <v>52647242</v>
      </c>
      <c r="B510">
        <v>2019</v>
      </c>
      <c r="C510">
        <v>31.958688429871401</v>
      </c>
      <c r="D510" t="s">
        <v>605</v>
      </c>
      <c r="E510" t="s">
        <v>18</v>
      </c>
      <c r="F510" t="s">
        <v>19</v>
      </c>
    </row>
    <row r="511" spans="1:6" x14ac:dyDescent="0.2">
      <c r="A511">
        <v>21262906</v>
      </c>
      <c r="B511">
        <v>2020</v>
      </c>
      <c r="C511">
        <v>39.877202709794197</v>
      </c>
      <c r="D511" t="s">
        <v>1106</v>
      </c>
      <c r="E511" t="s">
        <v>1106</v>
      </c>
      <c r="F511" t="s">
        <v>83</v>
      </c>
    </row>
    <row r="512" spans="1:6" x14ac:dyDescent="0.2">
      <c r="A512">
        <v>21262906</v>
      </c>
      <c r="B512">
        <v>2019</v>
      </c>
      <c r="C512">
        <v>33.420428996779499</v>
      </c>
      <c r="D512" t="s">
        <v>1106</v>
      </c>
      <c r="E512" t="s">
        <v>1106</v>
      </c>
      <c r="F512" t="s">
        <v>83</v>
      </c>
    </row>
    <row r="513" spans="1:6" x14ac:dyDescent="0.2">
      <c r="A513">
        <v>21262906</v>
      </c>
      <c r="B513">
        <v>2018</v>
      </c>
      <c r="C513">
        <v>34.450543033983401</v>
      </c>
      <c r="D513" t="s">
        <v>1106</v>
      </c>
      <c r="E513" t="s">
        <v>1106</v>
      </c>
      <c r="F513" t="s">
        <v>83</v>
      </c>
    </row>
    <row r="514" spans="1:6" x14ac:dyDescent="0.2">
      <c r="A514">
        <v>21262906</v>
      </c>
      <c r="B514">
        <v>2017</v>
      </c>
      <c r="C514">
        <v>29.937304075235101</v>
      </c>
      <c r="D514" t="s">
        <v>1106</v>
      </c>
      <c r="E514" t="s">
        <v>1106</v>
      </c>
      <c r="F514" t="s">
        <v>83</v>
      </c>
    </row>
    <row r="515" spans="1:6" x14ac:dyDescent="0.2">
      <c r="A515">
        <v>21262906</v>
      </c>
      <c r="B515">
        <v>2015</v>
      </c>
      <c r="C515">
        <v>21.947176684881601</v>
      </c>
      <c r="D515" t="s">
        <v>1106</v>
      </c>
      <c r="E515" t="s">
        <v>1106</v>
      </c>
      <c r="F515" t="s">
        <v>83</v>
      </c>
    </row>
    <row r="516" spans="1:6" x14ac:dyDescent="0.2">
      <c r="A516">
        <v>30654965</v>
      </c>
      <c r="B516">
        <v>2020</v>
      </c>
      <c r="C516">
        <v>48.320862180159601</v>
      </c>
      <c r="D516" t="s">
        <v>790</v>
      </c>
      <c r="E516" t="s">
        <v>32</v>
      </c>
      <c r="F516" t="s">
        <v>33</v>
      </c>
    </row>
    <row r="517" spans="1:6" x14ac:dyDescent="0.2">
      <c r="A517">
        <v>30654965</v>
      </c>
      <c r="B517">
        <v>2019</v>
      </c>
      <c r="C517">
        <v>39.203338957883901</v>
      </c>
      <c r="D517" t="s">
        <v>790</v>
      </c>
      <c r="E517" t="s">
        <v>32</v>
      </c>
      <c r="F517" t="s">
        <v>33</v>
      </c>
    </row>
    <row r="518" spans="1:6" x14ac:dyDescent="0.2">
      <c r="A518">
        <v>30654965</v>
      </c>
      <c r="B518">
        <v>2018</v>
      </c>
      <c r="C518">
        <v>52.917933435633998</v>
      </c>
      <c r="D518" t="s">
        <v>790</v>
      </c>
      <c r="E518" t="s">
        <v>32</v>
      </c>
      <c r="F518" t="s">
        <v>33</v>
      </c>
    </row>
    <row r="519" spans="1:6" x14ac:dyDescent="0.2">
      <c r="A519">
        <v>44873761</v>
      </c>
      <c r="B519">
        <v>2020</v>
      </c>
      <c r="C519">
        <v>21.2237128383784</v>
      </c>
      <c r="D519" t="s">
        <v>321</v>
      </c>
      <c r="E519" t="s">
        <v>322</v>
      </c>
      <c r="F519" t="s">
        <v>35</v>
      </c>
    </row>
    <row r="520" spans="1:6" x14ac:dyDescent="0.2">
      <c r="A520">
        <v>44873761</v>
      </c>
      <c r="B520">
        <v>2019</v>
      </c>
      <c r="C520">
        <v>32.427887065538698</v>
      </c>
      <c r="D520" t="s">
        <v>321</v>
      </c>
      <c r="E520" t="s">
        <v>322</v>
      </c>
      <c r="F520" t="s">
        <v>35</v>
      </c>
    </row>
    <row r="521" spans="1:6" x14ac:dyDescent="0.2">
      <c r="A521">
        <v>44873761</v>
      </c>
      <c r="B521">
        <v>2018</v>
      </c>
      <c r="C521">
        <v>35.825134110712298</v>
      </c>
      <c r="D521" t="s">
        <v>321</v>
      </c>
      <c r="E521" t="s">
        <v>322</v>
      </c>
      <c r="F521" t="s">
        <v>35</v>
      </c>
    </row>
    <row r="522" spans="1:6" x14ac:dyDescent="0.2">
      <c r="A522">
        <v>44873761</v>
      </c>
      <c r="B522">
        <v>2017</v>
      </c>
      <c r="C522">
        <v>36.139922844147101</v>
      </c>
      <c r="D522" t="s">
        <v>321</v>
      </c>
      <c r="E522" t="s">
        <v>322</v>
      </c>
      <c r="F522" t="s">
        <v>35</v>
      </c>
    </row>
    <row r="523" spans="1:6" x14ac:dyDescent="0.2">
      <c r="A523">
        <v>44873761</v>
      </c>
      <c r="B523">
        <v>2016</v>
      </c>
      <c r="C523">
        <v>25.820628836565898</v>
      </c>
      <c r="D523" t="s">
        <v>321</v>
      </c>
      <c r="E523" t="s">
        <v>322</v>
      </c>
      <c r="F523" t="s">
        <v>35</v>
      </c>
    </row>
    <row r="524" spans="1:6" x14ac:dyDescent="0.2">
      <c r="A524">
        <v>44873761</v>
      </c>
      <c r="B524">
        <v>2015</v>
      </c>
      <c r="C524">
        <v>22.034577735248899</v>
      </c>
      <c r="D524" t="s">
        <v>321</v>
      </c>
      <c r="E524" t="s">
        <v>322</v>
      </c>
      <c r="F524" t="s">
        <v>35</v>
      </c>
    </row>
    <row r="525" spans="1:6" x14ac:dyDescent="0.2">
      <c r="A525">
        <v>44873761</v>
      </c>
      <c r="B525">
        <v>2014</v>
      </c>
      <c r="C525">
        <v>33.4313849998112</v>
      </c>
      <c r="D525" t="s">
        <v>321</v>
      </c>
      <c r="E525" t="s">
        <v>322</v>
      </c>
      <c r="F525" t="s">
        <v>35</v>
      </c>
    </row>
    <row r="526" spans="1:6" x14ac:dyDescent="0.2">
      <c r="A526">
        <v>44873761</v>
      </c>
      <c r="B526">
        <v>2013</v>
      </c>
      <c r="C526">
        <v>26.4797507788162</v>
      </c>
      <c r="D526" t="s">
        <v>321</v>
      </c>
      <c r="E526" t="s">
        <v>322</v>
      </c>
      <c r="F526" t="s">
        <v>35</v>
      </c>
    </row>
    <row r="527" spans="1:6" x14ac:dyDescent="0.2">
      <c r="A527">
        <v>44873761</v>
      </c>
      <c r="B527">
        <v>2012</v>
      </c>
      <c r="C527">
        <v>44.322660098522199</v>
      </c>
      <c r="D527" t="s">
        <v>321</v>
      </c>
      <c r="E527" t="s">
        <v>322</v>
      </c>
      <c r="F527" t="s">
        <v>35</v>
      </c>
    </row>
    <row r="528" spans="1:6" x14ac:dyDescent="0.2">
      <c r="A528">
        <v>44873761</v>
      </c>
      <c r="B528">
        <v>2011</v>
      </c>
      <c r="C528">
        <v>44.8101265822785</v>
      </c>
      <c r="D528" t="s">
        <v>321</v>
      </c>
      <c r="E528" t="s">
        <v>322</v>
      </c>
      <c r="F528" t="s">
        <v>35</v>
      </c>
    </row>
    <row r="529" spans="1:6" x14ac:dyDescent="0.2">
      <c r="A529">
        <v>70308526</v>
      </c>
      <c r="B529">
        <v>2020</v>
      </c>
      <c r="C529">
        <v>16.8861118966555</v>
      </c>
      <c r="D529" t="s">
        <v>240</v>
      </c>
      <c r="E529" t="s">
        <v>241</v>
      </c>
      <c r="F529" t="s">
        <v>242</v>
      </c>
    </row>
    <row r="530" spans="1:6" x14ac:dyDescent="0.2">
      <c r="A530">
        <v>70308526</v>
      </c>
      <c r="B530">
        <v>2019</v>
      </c>
      <c r="C530">
        <v>17.6792470329375</v>
      </c>
      <c r="D530" t="s">
        <v>240</v>
      </c>
      <c r="E530" t="s">
        <v>241</v>
      </c>
      <c r="F530" t="s">
        <v>242</v>
      </c>
    </row>
    <row r="531" spans="1:6" x14ac:dyDescent="0.2">
      <c r="A531">
        <v>70308526</v>
      </c>
      <c r="B531">
        <v>2018</v>
      </c>
      <c r="C531">
        <v>19.096339042334701</v>
      </c>
      <c r="D531" t="s">
        <v>240</v>
      </c>
      <c r="E531" t="s">
        <v>241</v>
      </c>
      <c r="F531" t="s">
        <v>242</v>
      </c>
    </row>
    <row r="532" spans="1:6" x14ac:dyDescent="0.2">
      <c r="A532">
        <v>70308526</v>
      </c>
      <c r="B532">
        <v>2017</v>
      </c>
      <c r="C532">
        <v>16.824339453649799</v>
      </c>
      <c r="D532" t="s">
        <v>240</v>
      </c>
      <c r="E532" t="s">
        <v>241</v>
      </c>
      <c r="F532" t="s">
        <v>242</v>
      </c>
    </row>
    <row r="533" spans="1:6" x14ac:dyDescent="0.2">
      <c r="A533">
        <v>70308526</v>
      </c>
      <c r="B533">
        <v>2016</v>
      </c>
      <c r="C533">
        <v>15.3368786584816</v>
      </c>
      <c r="D533" t="s">
        <v>240</v>
      </c>
      <c r="E533" t="s">
        <v>241</v>
      </c>
      <c r="F533" t="s">
        <v>242</v>
      </c>
    </row>
    <row r="534" spans="1:6" x14ac:dyDescent="0.2">
      <c r="A534">
        <v>70308526</v>
      </c>
      <c r="B534">
        <v>2015</v>
      </c>
      <c r="C534">
        <v>14.928961748633901</v>
      </c>
      <c r="D534" t="s">
        <v>240</v>
      </c>
      <c r="E534" t="s">
        <v>241</v>
      </c>
      <c r="F534" t="s">
        <v>242</v>
      </c>
    </row>
    <row r="535" spans="1:6" x14ac:dyDescent="0.2">
      <c r="A535">
        <v>70308526</v>
      </c>
      <c r="B535">
        <v>2014</v>
      </c>
      <c r="C535">
        <v>16.918401596589099</v>
      </c>
      <c r="D535" t="s">
        <v>240</v>
      </c>
      <c r="E535" t="s">
        <v>241</v>
      </c>
      <c r="F535" t="s">
        <v>242</v>
      </c>
    </row>
    <row r="536" spans="1:6" x14ac:dyDescent="0.2">
      <c r="A536">
        <v>70308526</v>
      </c>
      <c r="B536">
        <v>2013</v>
      </c>
      <c r="C536">
        <v>15.464285714285699</v>
      </c>
      <c r="D536" t="s">
        <v>240</v>
      </c>
      <c r="E536" t="s">
        <v>241</v>
      </c>
      <c r="F536" t="s">
        <v>242</v>
      </c>
    </row>
    <row r="537" spans="1:6" x14ac:dyDescent="0.2">
      <c r="A537">
        <v>70308526</v>
      </c>
      <c r="B537">
        <v>2012</v>
      </c>
      <c r="C537">
        <v>16.872427983539101</v>
      </c>
      <c r="D537" t="s">
        <v>240</v>
      </c>
      <c r="E537" t="s">
        <v>241</v>
      </c>
      <c r="F537" t="s">
        <v>242</v>
      </c>
    </row>
    <row r="538" spans="1:6" x14ac:dyDescent="0.2">
      <c r="A538">
        <v>70308526</v>
      </c>
      <c r="B538">
        <v>2011</v>
      </c>
      <c r="C538">
        <v>21.739130434782599</v>
      </c>
      <c r="D538" t="s">
        <v>240</v>
      </c>
      <c r="E538" t="s">
        <v>241</v>
      </c>
      <c r="F538" t="s">
        <v>242</v>
      </c>
    </row>
    <row r="539" spans="1:6" x14ac:dyDescent="0.2">
      <c r="A539">
        <v>70308526</v>
      </c>
      <c r="B539">
        <v>2010</v>
      </c>
      <c r="C539">
        <v>18.518518518518501</v>
      </c>
      <c r="D539" t="s">
        <v>240</v>
      </c>
      <c r="E539" t="s">
        <v>241</v>
      </c>
      <c r="F539" t="s">
        <v>242</v>
      </c>
    </row>
    <row r="540" spans="1:6" x14ac:dyDescent="0.2">
      <c r="A540">
        <v>88584511</v>
      </c>
      <c r="B540">
        <v>2019</v>
      </c>
      <c r="C540">
        <v>35.383879200340303</v>
      </c>
      <c r="D540" t="s">
        <v>630</v>
      </c>
      <c r="E540"/>
      <c r="F540" t="s">
        <v>7</v>
      </c>
    </row>
    <row r="541" spans="1:6" x14ac:dyDescent="0.2">
      <c r="A541">
        <v>88584511</v>
      </c>
      <c r="B541">
        <v>2018</v>
      </c>
      <c r="C541">
        <v>32.114912997781197</v>
      </c>
      <c r="D541" t="s">
        <v>630</v>
      </c>
      <c r="E541"/>
      <c r="F541" t="s">
        <v>7</v>
      </c>
    </row>
    <row r="542" spans="1:6" x14ac:dyDescent="0.2">
      <c r="A542">
        <v>88584511</v>
      </c>
      <c r="B542">
        <v>2016</v>
      </c>
      <c r="C542">
        <v>34.056079010103304</v>
      </c>
      <c r="D542" t="s">
        <v>630</v>
      </c>
      <c r="E542"/>
      <c r="F542" t="s">
        <v>7</v>
      </c>
    </row>
    <row r="543" spans="1:6" x14ac:dyDescent="0.2">
      <c r="A543">
        <v>88584511</v>
      </c>
      <c r="B543">
        <v>2015</v>
      </c>
      <c r="C543">
        <v>27.304189435337001</v>
      </c>
      <c r="D543" t="s">
        <v>630</v>
      </c>
      <c r="E543"/>
      <c r="F543" t="s">
        <v>7</v>
      </c>
    </row>
    <row r="544" spans="1:6" x14ac:dyDescent="0.2">
      <c r="A544">
        <v>21668517</v>
      </c>
      <c r="B544">
        <v>2019</v>
      </c>
      <c r="C544">
        <v>35.072794704754202</v>
      </c>
      <c r="D544" t="s">
        <v>471</v>
      </c>
      <c r="E544" t="s">
        <v>72</v>
      </c>
      <c r="F544" t="s">
        <v>49</v>
      </c>
    </row>
    <row r="545" spans="1:6" x14ac:dyDescent="0.2">
      <c r="A545">
        <v>73349315</v>
      </c>
      <c r="B545">
        <v>2020</v>
      </c>
      <c r="C545">
        <v>37.147700495426498</v>
      </c>
      <c r="D545" t="s">
        <v>922</v>
      </c>
      <c r="E545" t="s">
        <v>18</v>
      </c>
      <c r="F545" t="s">
        <v>19</v>
      </c>
    </row>
    <row r="546" spans="1:6" x14ac:dyDescent="0.2">
      <c r="A546">
        <v>73349315</v>
      </c>
      <c r="B546">
        <v>2019</v>
      </c>
      <c r="C546">
        <v>39.390588136164503</v>
      </c>
      <c r="D546" t="s">
        <v>922</v>
      </c>
      <c r="E546" t="s">
        <v>18</v>
      </c>
      <c r="F546" t="s">
        <v>19</v>
      </c>
    </row>
    <row r="547" spans="1:6" x14ac:dyDescent="0.2">
      <c r="A547">
        <v>73349315</v>
      </c>
      <c r="B547">
        <v>2018</v>
      </c>
      <c r="C547">
        <v>49.180577899144197</v>
      </c>
      <c r="D547" t="s">
        <v>922</v>
      </c>
      <c r="E547" t="s">
        <v>18</v>
      </c>
      <c r="F547" t="s">
        <v>19</v>
      </c>
    </row>
    <row r="548" spans="1:6" x14ac:dyDescent="0.2">
      <c r="A548">
        <v>73349315</v>
      </c>
      <c r="B548">
        <v>2017</v>
      </c>
      <c r="C548">
        <v>35.888124362894999</v>
      </c>
      <c r="D548" t="s">
        <v>922</v>
      </c>
      <c r="E548" t="s">
        <v>18</v>
      </c>
      <c r="F548" t="s">
        <v>19</v>
      </c>
    </row>
    <row r="549" spans="1:6" x14ac:dyDescent="0.2">
      <c r="A549">
        <v>73349315</v>
      </c>
      <c r="B549">
        <v>2016</v>
      </c>
      <c r="C549">
        <v>30.4927275374211</v>
      </c>
      <c r="D549" t="s">
        <v>922</v>
      </c>
      <c r="E549" t="s">
        <v>18</v>
      </c>
      <c r="F549" t="s">
        <v>19</v>
      </c>
    </row>
    <row r="550" spans="1:6" x14ac:dyDescent="0.2">
      <c r="A550">
        <v>73349315</v>
      </c>
      <c r="B550">
        <v>2015</v>
      </c>
      <c r="C550">
        <v>31.7004321108288</v>
      </c>
      <c r="D550" t="s">
        <v>922</v>
      </c>
      <c r="E550" t="s">
        <v>18</v>
      </c>
      <c r="F550" t="s">
        <v>19</v>
      </c>
    </row>
    <row r="551" spans="1:6" x14ac:dyDescent="0.2">
      <c r="A551">
        <v>73349315</v>
      </c>
      <c r="B551">
        <v>2013</v>
      </c>
      <c r="C551">
        <v>22.727272727272702</v>
      </c>
      <c r="D551" t="s">
        <v>922</v>
      </c>
      <c r="E551" t="s">
        <v>18</v>
      </c>
      <c r="F551" t="s">
        <v>19</v>
      </c>
    </row>
    <row r="552" spans="1:6" x14ac:dyDescent="0.2">
      <c r="A552">
        <v>25463888</v>
      </c>
      <c r="B552">
        <v>2020</v>
      </c>
      <c r="C552">
        <v>51.692418576295097</v>
      </c>
      <c r="D552" t="s">
        <v>688</v>
      </c>
      <c r="E552" t="s">
        <v>689</v>
      </c>
      <c r="F552" t="s">
        <v>348</v>
      </c>
    </row>
    <row r="553" spans="1:6" x14ac:dyDescent="0.2">
      <c r="A553">
        <v>25463888</v>
      </c>
      <c r="B553">
        <v>2019</v>
      </c>
      <c r="C553">
        <v>52.9062751556419</v>
      </c>
      <c r="D553" t="s">
        <v>688</v>
      </c>
      <c r="E553" t="s">
        <v>689</v>
      </c>
      <c r="F553" t="s">
        <v>348</v>
      </c>
    </row>
    <row r="554" spans="1:6" x14ac:dyDescent="0.2">
      <c r="A554">
        <v>25463888</v>
      </c>
      <c r="B554">
        <v>2018</v>
      </c>
      <c r="C554">
        <v>57.400111825516198</v>
      </c>
      <c r="D554" t="s">
        <v>688</v>
      </c>
      <c r="E554" t="s">
        <v>689</v>
      </c>
      <c r="F554" t="s">
        <v>348</v>
      </c>
    </row>
    <row r="555" spans="1:6" x14ac:dyDescent="0.2">
      <c r="A555">
        <v>25463888</v>
      </c>
      <c r="B555">
        <v>2017</v>
      </c>
      <c r="C555">
        <v>54.868776656152797</v>
      </c>
      <c r="D555" t="s">
        <v>688</v>
      </c>
      <c r="E555" t="s">
        <v>689</v>
      </c>
      <c r="F555" t="s">
        <v>348</v>
      </c>
    </row>
    <row r="556" spans="1:6" x14ac:dyDescent="0.2">
      <c r="A556">
        <v>25463888</v>
      </c>
      <c r="B556">
        <v>2016</v>
      </c>
      <c r="C556">
        <v>51.938992294764901</v>
      </c>
      <c r="D556" t="s">
        <v>688</v>
      </c>
      <c r="E556" t="s">
        <v>689</v>
      </c>
      <c r="F556" t="s">
        <v>348</v>
      </c>
    </row>
    <row r="557" spans="1:6" x14ac:dyDescent="0.2">
      <c r="A557">
        <v>25463888</v>
      </c>
      <c r="B557">
        <v>2015</v>
      </c>
      <c r="C557">
        <v>54.435259774068797</v>
      </c>
      <c r="D557" t="s">
        <v>688</v>
      </c>
      <c r="E557" t="s">
        <v>689</v>
      </c>
      <c r="F557" t="s">
        <v>348</v>
      </c>
    </row>
    <row r="558" spans="1:6" x14ac:dyDescent="0.2">
      <c r="A558">
        <v>25463888</v>
      </c>
      <c r="B558">
        <v>2014</v>
      </c>
      <c r="C558">
        <v>68.565610081855596</v>
      </c>
      <c r="D558" t="s">
        <v>688</v>
      </c>
      <c r="E558" t="s">
        <v>689</v>
      </c>
      <c r="F558" t="s">
        <v>348</v>
      </c>
    </row>
    <row r="559" spans="1:6" x14ac:dyDescent="0.2">
      <c r="A559">
        <v>25463888</v>
      </c>
      <c r="B559">
        <v>2013</v>
      </c>
      <c r="C559">
        <v>68.8873626373626</v>
      </c>
      <c r="D559" t="s">
        <v>688</v>
      </c>
      <c r="E559" t="s">
        <v>689</v>
      </c>
      <c r="F559" t="s">
        <v>348</v>
      </c>
    </row>
    <row r="560" spans="1:6" x14ac:dyDescent="0.2">
      <c r="A560">
        <v>25463888</v>
      </c>
      <c r="B560">
        <v>2012</v>
      </c>
      <c r="C560">
        <v>53.398058252427198</v>
      </c>
      <c r="D560" t="s">
        <v>688</v>
      </c>
      <c r="E560" t="s">
        <v>689</v>
      </c>
      <c r="F560" t="s">
        <v>348</v>
      </c>
    </row>
    <row r="561" spans="1:6" x14ac:dyDescent="0.2">
      <c r="A561">
        <v>25463888</v>
      </c>
      <c r="B561">
        <v>2011</v>
      </c>
      <c r="C561">
        <v>55.319148936170201</v>
      </c>
      <c r="D561" t="s">
        <v>688</v>
      </c>
      <c r="E561" t="s">
        <v>689</v>
      </c>
      <c r="F561" t="s">
        <v>348</v>
      </c>
    </row>
    <row r="562" spans="1:6" x14ac:dyDescent="0.2">
      <c r="A562">
        <v>25463888</v>
      </c>
      <c r="B562">
        <v>2010</v>
      </c>
      <c r="C562">
        <v>46.610169491525397</v>
      </c>
      <c r="D562" t="s">
        <v>688</v>
      </c>
      <c r="E562" t="s">
        <v>689</v>
      </c>
      <c r="F562" t="s">
        <v>348</v>
      </c>
    </row>
    <row r="563" spans="1:6" x14ac:dyDescent="0.2">
      <c r="A563">
        <v>79868229</v>
      </c>
      <c r="B563">
        <v>2020</v>
      </c>
      <c r="C563">
        <v>39.056679548663702</v>
      </c>
      <c r="D563" t="s">
        <v>608</v>
      </c>
      <c r="E563" t="s">
        <v>18</v>
      </c>
      <c r="F563" t="s">
        <v>19</v>
      </c>
    </row>
    <row r="564" spans="1:6" x14ac:dyDescent="0.2">
      <c r="A564">
        <v>79868229</v>
      </c>
      <c r="B564">
        <v>2019</v>
      </c>
      <c r="C564">
        <v>40.690652735647703</v>
      </c>
      <c r="D564" t="s">
        <v>608</v>
      </c>
      <c r="E564" t="s">
        <v>18</v>
      </c>
      <c r="F564" t="s">
        <v>19</v>
      </c>
    </row>
    <row r="565" spans="1:6" x14ac:dyDescent="0.2">
      <c r="A565">
        <v>79868229</v>
      </c>
      <c r="B565">
        <v>2018</v>
      </c>
      <c r="C565">
        <v>39.4848034326182</v>
      </c>
      <c r="D565" t="s">
        <v>608</v>
      </c>
      <c r="E565" t="s">
        <v>18</v>
      </c>
      <c r="F565" t="s">
        <v>19</v>
      </c>
    </row>
    <row r="566" spans="1:6" x14ac:dyDescent="0.2">
      <c r="A566">
        <v>79868229</v>
      </c>
      <c r="B566">
        <v>2017</v>
      </c>
      <c r="C566">
        <v>37.886510363574601</v>
      </c>
      <c r="D566" t="s">
        <v>608</v>
      </c>
      <c r="E566" t="s">
        <v>18</v>
      </c>
      <c r="F566" t="s">
        <v>19</v>
      </c>
    </row>
    <row r="567" spans="1:6" x14ac:dyDescent="0.2">
      <c r="A567">
        <v>79868229</v>
      </c>
      <c r="B567">
        <v>2016</v>
      </c>
      <c r="C567">
        <v>30.716597422085801</v>
      </c>
      <c r="D567" t="s">
        <v>608</v>
      </c>
      <c r="E567" t="s">
        <v>18</v>
      </c>
      <c r="F567" t="s">
        <v>19</v>
      </c>
    </row>
    <row r="568" spans="1:6" x14ac:dyDescent="0.2">
      <c r="A568">
        <v>79868229</v>
      </c>
      <c r="B568">
        <v>2015</v>
      </c>
      <c r="C568">
        <v>30.2097583219334</v>
      </c>
      <c r="D568" t="s">
        <v>608</v>
      </c>
      <c r="E568" t="s">
        <v>18</v>
      </c>
      <c r="F568" t="s">
        <v>19</v>
      </c>
    </row>
    <row r="569" spans="1:6" x14ac:dyDescent="0.2">
      <c r="A569">
        <v>79868229</v>
      </c>
      <c r="B569">
        <v>2014</v>
      </c>
      <c r="C569">
        <v>46.474627365600398</v>
      </c>
      <c r="D569" t="s">
        <v>608</v>
      </c>
      <c r="E569" t="s">
        <v>18</v>
      </c>
      <c r="F569" t="s">
        <v>19</v>
      </c>
    </row>
    <row r="570" spans="1:6" x14ac:dyDescent="0.2">
      <c r="A570">
        <v>34654242</v>
      </c>
      <c r="B570">
        <v>2020</v>
      </c>
      <c r="C570">
        <v>18.289510079159299</v>
      </c>
      <c r="D570" t="s">
        <v>563</v>
      </c>
      <c r="E570"/>
      <c r="F570" t="s">
        <v>139</v>
      </c>
    </row>
    <row r="571" spans="1:6" x14ac:dyDescent="0.2">
      <c r="A571">
        <v>34654242</v>
      </c>
      <c r="B571">
        <v>2019</v>
      </c>
      <c r="C571">
        <v>18.814674215057899</v>
      </c>
      <c r="D571" t="s">
        <v>563</v>
      </c>
      <c r="E571"/>
      <c r="F571" t="s">
        <v>139</v>
      </c>
    </row>
    <row r="572" spans="1:6" x14ac:dyDescent="0.2">
      <c r="A572">
        <v>34654242</v>
      </c>
      <c r="B572">
        <v>2018</v>
      </c>
      <c r="C572">
        <v>20.968567161869601</v>
      </c>
      <c r="D572" t="s">
        <v>563</v>
      </c>
      <c r="E572"/>
      <c r="F572" t="s">
        <v>139</v>
      </c>
    </row>
    <row r="573" spans="1:6" x14ac:dyDescent="0.2">
      <c r="A573">
        <v>34654242</v>
      </c>
      <c r="B573">
        <v>2017</v>
      </c>
      <c r="C573">
        <v>16.341707899455699</v>
      </c>
      <c r="D573" t="s">
        <v>563</v>
      </c>
      <c r="E573"/>
      <c r="F573" t="s">
        <v>139</v>
      </c>
    </row>
    <row r="574" spans="1:6" x14ac:dyDescent="0.2">
      <c r="A574">
        <v>34654242</v>
      </c>
      <c r="B574">
        <v>2016</v>
      </c>
      <c r="C574">
        <v>16.038262037163701</v>
      </c>
      <c r="D574" t="s">
        <v>563</v>
      </c>
      <c r="E574"/>
      <c r="F574" t="s">
        <v>139</v>
      </c>
    </row>
    <row r="575" spans="1:6" x14ac:dyDescent="0.2">
      <c r="A575">
        <v>34654242</v>
      </c>
      <c r="B575">
        <v>2015</v>
      </c>
      <c r="C575">
        <v>14.4267515923567</v>
      </c>
      <c r="D575" t="s">
        <v>563</v>
      </c>
      <c r="E575"/>
      <c r="F575" t="s">
        <v>139</v>
      </c>
    </row>
    <row r="576" spans="1:6" x14ac:dyDescent="0.2">
      <c r="A576">
        <v>34654242</v>
      </c>
      <c r="B576">
        <v>2014</v>
      </c>
      <c r="C576">
        <v>19.382627422828399</v>
      </c>
      <c r="D576" t="s">
        <v>563</v>
      </c>
      <c r="E576"/>
      <c r="F576" t="s">
        <v>139</v>
      </c>
    </row>
    <row r="577" spans="1:6" x14ac:dyDescent="0.2">
      <c r="A577">
        <v>34654242</v>
      </c>
      <c r="B577">
        <v>2013</v>
      </c>
      <c r="C577">
        <v>19.419115163796</v>
      </c>
      <c r="D577" t="s">
        <v>563</v>
      </c>
      <c r="E577"/>
      <c r="F577" t="s">
        <v>139</v>
      </c>
    </row>
    <row r="578" spans="1:6" x14ac:dyDescent="0.2">
      <c r="A578">
        <v>34654242</v>
      </c>
      <c r="B578">
        <v>2012</v>
      </c>
      <c r="C578">
        <v>17.636363636363601</v>
      </c>
      <c r="D578" t="s">
        <v>563</v>
      </c>
      <c r="E578"/>
      <c r="F578" t="s">
        <v>139</v>
      </c>
    </row>
    <row r="579" spans="1:6" x14ac:dyDescent="0.2">
      <c r="A579">
        <v>34654242</v>
      </c>
      <c r="B579">
        <v>2011</v>
      </c>
      <c r="C579">
        <v>27.560258671369802</v>
      </c>
      <c r="D579" t="s">
        <v>563</v>
      </c>
      <c r="E579"/>
      <c r="F579" t="s">
        <v>139</v>
      </c>
    </row>
    <row r="580" spans="1:6" x14ac:dyDescent="0.2">
      <c r="A580">
        <v>11813012</v>
      </c>
      <c r="B580">
        <v>2020</v>
      </c>
      <c r="C580">
        <v>68.3333333333333</v>
      </c>
      <c r="D580" t="s">
        <v>595</v>
      </c>
      <c r="E580" t="s">
        <v>1</v>
      </c>
      <c r="F580" t="s">
        <v>1126</v>
      </c>
    </row>
    <row r="581" spans="1:6" x14ac:dyDescent="0.2">
      <c r="A581">
        <v>11813012</v>
      </c>
      <c r="B581">
        <v>2019</v>
      </c>
      <c r="C581">
        <v>65.304347826086996</v>
      </c>
      <c r="D581" t="s">
        <v>595</v>
      </c>
      <c r="E581" t="s">
        <v>1</v>
      </c>
      <c r="F581" t="s">
        <v>1126</v>
      </c>
    </row>
    <row r="582" spans="1:6" x14ac:dyDescent="0.2">
      <c r="A582">
        <v>11813012</v>
      </c>
      <c r="B582">
        <v>2018</v>
      </c>
      <c r="C582">
        <v>69.738064516129</v>
      </c>
      <c r="D582" t="s">
        <v>595</v>
      </c>
      <c r="E582" t="s">
        <v>1</v>
      </c>
      <c r="F582" t="s">
        <v>1126</v>
      </c>
    </row>
    <row r="583" spans="1:6" x14ac:dyDescent="0.2">
      <c r="A583">
        <v>11813012</v>
      </c>
      <c r="B583">
        <v>2017</v>
      </c>
      <c r="C583">
        <v>60.624166666666703</v>
      </c>
      <c r="D583" t="s">
        <v>595</v>
      </c>
      <c r="E583" t="s">
        <v>1</v>
      </c>
      <c r="F583" t="s">
        <v>1126</v>
      </c>
    </row>
    <row r="584" spans="1:6" x14ac:dyDescent="0.2">
      <c r="A584">
        <v>11813012</v>
      </c>
      <c r="B584">
        <v>2016</v>
      </c>
      <c r="C584">
        <v>50.7663636363636</v>
      </c>
      <c r="D584" t="s">
        <v>595</v>
      </c>
      <c r="E584" t="s">
        <v>1</v>
      </c>
      <c r="F584" t="s">
        <v>1126</v>
      </c>
    </row>
    <row r="585" spans="1:6" x14ac:dyDescent="0.2">
      <c r="A585">
        <v>11813012</v>
      </c>
      <c r="B585">
        <v>2015</v>
      </c>
      <c r="C585">
        <v>44.285714285714299</v>
      </c>
      <c r="D585" t="s">
        <v>595</v>
      </c>
      <c r="E585" t="s">
        <v>1</v>
      </c>
      <c r="F585" t="s">
        <v>1126</v>
      </c>
    </row>
    <row r="586" spans="1:6" x14ac:dyDescent="0.2">
      <c r="A586">
        <v>77707284</v>
      </c>
      <c r="B586">
        <v>2020</v>
      </c>
      <c r="C586">
        <v>24.105335396934599</v>
      </c>
      <c r="D586" t="s">
        <v>1046</v>
      </c>
      <c r="E586" t="s">
        <v>1047</v>
      </c>
      <c r="F586" t="s">
        <v>320</v>
      </c>
    </row>
    <row r="587" spans="1:6" x14ac:dyDescent="0.2">
      <c r="A587">
        <v>77707284</v>
      </c>
      <c r="B587">
        <v>2018</v>
      </c>
      <c r="C587">
        <v>25.049577288383301</v>
      </c>
      <c r="D587" t="s">
        <v>1046</v>
      </c>
      <c r="E587" t="s">
        <v>1047</v>
      </c>
      <c r="F587" t="s">
        <v>320</v>
      </c>
    </row>
    <row r="588" spans="1:6" x14ac:dyDescent="0.2">
      <c r="A588">
        <v>60158719</v>
      </c>
      <c r="B588">
        <v>2020</v>
      </c>
      <c r="C588">
        <v>9.1700316647735907</v>
      </c>
      <c r="D588" t="s">
        <v>599</v>
      </c>
      <c r="E588"/>
      <c r="F588" t="s">
        <v>600</v>
      </c>
    </row>
    <row r="589" spans="1:6" x14ac:dyDescent="0.2">
      <c r="A589">
        <v>60158719</v>
      </c>
      <c r="B589">
        <v>2019</v>
      </c>
      <c r="C589">
        <v>9.1006496525414509</v>
      </c>
      <c r="D589" t="s">
        <v>599</v>
      </c>
      <c r="E589"/>
      <c r="F589" t="s">
        <v>600</v>
      </c>
    </row>
    <row r="590" spans="1:6" x14ac:dyDescent="0.2">
      <c r="A590">
        <v>60158719</v>
      </c>
      <c r="B590">
        <v>2018</v>
      </c>
      <c r="C590">
        <v>9.4214027853284499</v>
      </c>
      <c r="D590" t="s">
        <v>599</v>
      </c>
      <c r="E590"/>
      <c r="F590" t="s">
        <v>600</v>
      </c>
    </row>
    <row r="591" spans="1:6" x14ac:dyDescent="0.2">
      <c r="A591">
        <v>60158719</v>
      </c>
      <c r="B591">
        <v>2017</v>
      </c>
      <c r="C591">
        <v>8.8663861218331093</v>
      </c>
      <c r="D591" t="s">
        <v>599</v>
      </c>
      <c r="E591"/>
      <c r="F591" t="s">
        <v>600</v>
      </c>
    </row>
    <row r="592" spans="1:6" x14ac:dyDescent="0.2">
      <c r="A592">
        <v>60158719</v>
      </c>
      <c r="B592">
        <v>2016</v>
      </c>
      <c r="C592">
        <v>8.1182967245966697</v>
      </c>
      <c r="D592" t="s">
        <v>599</v>
      </c>
      <c r="E592"/>
      <c r="F592" t="s">
        <v>600</v>
      </c>
    </row>
    <row r="593" spans="1:6" x14ac:dyDescent="0.2">
      <c r="A593">
        <v>60158719</v>
      </c>
      <c r="B593">
        <v>2015</v>
      </c>
      <c r="C593">
        <v>7.7541050832095699</v>
      </c>
      <c r="D593" t="s">
        <v>599</v>
      </c>
      <c r="E593"/>
      <c r="F593" t="s">
        <v>600</v>
      </c>
    </row>
    <row r="594" spans="1:6" x14ac:dyDescent="0.2">
      <c r="A594">
        <v>60158719</v>
      </c>
      <c r="B594">
        <v>2014</v>
      </c>
      <c r="C594">
        <v>10.3178404841827</v>
      </c>
      <c r="D594" t="s">
        <v>599</v>
      </c>
      <c r="E594"/>
      <c r="F594" t="s">
        <v>600</v>
      </c>
    </row>
    <row r="595" spans="1:6" x14ac:dyDescent="0.2">
      <c r="A595">
        <v>60158719</v>
      </c>
      <c r="B595">
        <v>2013</v>
      </c>
      <c r="C595">
        <v>9.7675951530073206</v>
      </c>
      <c r="D595" t="s">
        <v>599</v>
      </c>
      <c r="E595"/>
      <c r="F595" t="s">
        <v>600</v>
      </c>
    </row>
    <row r="596" spans="1:6" x14ac:dyDescent="0.2">
      <c r="A596">
        <v>60158719</v>
      </c>
      <c r="B596">
        <v>2012</v>
      </c>
      <c r="C596">
        <v>8.8634970021066302</v>
      </c>
      <c r="D596" t="s">
        <v>599</v>
      </c>
      <c r="E596"/>
      <c r="F596" t="s">
        <v>600</v>
      </c>
    </row>
    <row r="597" spans="1:6" x14ac:dyDescent="0.2">
      <c r="A597">
        <v>60158719</v>
      </c>
      <c r="B597">
        <v>2011</v>
      </c>
      <c r="C597">
        <v>10.704804454804499</v>
      </c>
      <c r="D597" t="s">
        <v>599</v>
      </c>
      <c r="E597"/>
      <c r="F597" t="s">
        <v>600</v>
      </c>
    </row>
    <row r="598" spans="1:6" x14ac:dyDescent="0.2">
      <c r="A598">
        <v>60158719</v>
      </c>
      <c r="B598">
        <v>2010</v>
      </c>
      <c r="C598">
        <v>9.1194218734325698</v>
      </c>
      <c r="D598" t="s">
        <v>599</v>
      </c>
      <c r="E598"/>
      <c r="F598" t="s">
        <v>600</v>
      </c>
    </row>
    <row r="599" spans="1:6" x14ac:dyDescent="0.2">
      <c r="A599">
        <v>86528222</v>
      </c>
      <c r="B599">
        <v>2020</v>
      </c>
      <c r="C599">
        <v>15.1039680667763</v>
      </c>
      <c r="D599" t="s">
        <v>243</v>
      </c>
      <c r="E599"/>
      <c r="F599" t="s">
        <v>244</v>
      </c>
    </row>
    <row r="600" spans="1:6" x14ac:dyDescent="0.2">
      <c r="A600">
        <v>86528222</v>
      </c>
      <c r="B600">
        <v>2019</v>
      </c>
      <c r="C600">
        <v>14.1590703862119</v>
      </c>
      <c r="D600" t="s">
        <v>243</v>
      </c>
      <c r="E600"/>
      <c r="F600" t="s">
        <v>244</v>
      </c>
    </row>
    <row r="601" spans="1:6" x14ac:dyDescent="0.2">
      <c r="A601">
        <v>86528222</v>
      </c>
      <c r="B601">
        <v>2018</v>
      </c>
      <c r="C601">
        <v>15.5424665206148</v>
      </c>
      <c r="D601" t="s">
        <v>243</v>
      </c>
      <c r="E601"/>
      <c r="F601" t="s">
        <v>244</v>
      </c>
    </row>
    <row r="602" spans="1:6" x14ac:dyDescent="0.2">
      <c r="A602">
        <v>86528222</v>
      </c>
      <c r="B602">
        <v>2017</v>
      </c>
      <c r="C602">
        <v>15.6629567531741</v>
      </c>
      <c r="D602" t="s">
        <v>243</v>
      </c>
      <c r="E602"/>
      <c r="F602" t="s">
        <v>244</v>
      </c>
    </row>
    <row r="603" spans="1:6" x14ac:dyDescent="0.2">
      <c r="A603">
        <v>86528222</v>
      </c>
      <c r="B603">
        <v>2016</v>
      </c>
      <c r="C603">
        <v>15.0688642951741</v>
      </c>
      <c r="D603" t="s">
        <v>243</v>
      </c>
      <c r="E603"/>
      <c r="F603" t="s">
        <v>244</v>
      </c>
    </row>
    <row r="604" spans="1:6" x14ac:dyDescent="0.2">
      <c r="A604">
        <v>86528222</v>
      </c>
      <c r="B604">
        <v>2015</v>
      </c>
      <c r="C604">
        <v>13.875488058251801</v>
      </c>
      <c r="D604" t="s">
        <v>243</v>
      </c>
      <c r="E604"/>
      <c r="F604" t="s">
        <v>244</v>
      </c>
    </row>
    <row r="605" spans="1:6" x14ac:dyDescent="0.2">
      <c r="A605">
        <v>86528222</v>
      </c>
      <c r="B605">
        <v>2014</v>
      </c>
      <c r="C605">
        <v>19.610077387505701</v>
      </c>
      <c r="D605" t="s">
        <v>243</v>
      </c>
      <c r="E605"/>
      <c r="F605" t="s">
        <v>244</v>
      </c>
    </row>
    <row r="606" spans="1:6" x14ac:dyDescent="0.2">
      <c r="A606">
        <v>86528222</v>
      </c>
      <c r="B606">
        <v>2013</v>
      </c>
      <c r="C606">
        <v>16.2961503087636</v>
      </c>
      <c r="D606" t="s">
        <v>243</v>
      </c>
      <c r="E606"/>
      <c r="F606" t="s">
        <v>244</v>
      </c>
    </row>
    <row r="607" spans="1:6" x14ac:dyDescent="0.2">
      <c r="A607">
        <v>86528222</v>
      </c>
      <c r="B607">
        <v>2012</v>
      </c>
      <c r="C607">
        <v>19.434846989141199</v>
      </c>
      <c r="D607" t="s">
        <v>243</v>
      </c>
      <c r="E607"/>
      <c r="F607" t="s">
        <v>244</v>
      </c>
    </row>
    <row r="608" spans="1:6" x14ac:dyDescent="0.2">
      <c r="A608">
        <v>86528222</v>
      </c>
      <c r="B608">
        <v>2011</v>
      </c>
      <c r="C608">
        <v>28.430601905908699</v>
      </c>
      <c r="D608" t="s">
        <v>243</v>
      </c>
      <c r="E608"/>
      <c r="F608" t="s">
        <v>244</v>
      </c>
    </row>
    <row r="609" spans="1:6" x14ac:dyDescent="0.2">
      <c r="A609">
        <v>86528222</v>
      </c>
      <c r="B609">
        <v>2010</v>
      </c>
      <c r="C609">
        <v>29.134659810716101</v>
      </c>
      <c r="D609" t="s">
        <v>243</v>
      </c>
      <c r="E609"/>
      <c r="F609" t="s">
        <v>244</v>
      </c>
    </row>
    <row r="610" spans="1:6" x14ac:dyDescent="0.2">
      <c r="A610">
        <v>43924264</v>
      </c>
      <c r="B610">
        <v>2020</v>
      </c>
      <c r="C610">
        <v>30.602424841580099</v>
      </c>
      <c r="D610" t="s">
        <v>180</v>
      </c>
      <c r="E610"/>
      <c r="F610" t="s">
        <v>181</v>
      </c>
    </row>
    <row r="611" spans="1:6" x14ac:dyDescent="0.2">
      <c r="A611">
        <v>43924264</v>
      </c>
      <c r="B611">
        <v>2019</v>
      </c>
      <c r="C611">
        <v>33.266233177630703</v>
      </c>
      <c r="D611" t="s">
        <v>180</v>
      </c>
      <c r="E611"/>
      <c r="F611" t="s">
        <v>181</v>
      </c>
    </row>
    <row r="612" spans="1:6" x14ac:dyDescent="0.2">
      <c r="A612">
        <v>43924264</v>
      </c>
      <c r="B612">
        <v>2018</v>
      </c>
      <c r="C612">
        <v>47.908139521008103</v>
      </c>
      <c r="D612" t="s">
        <v>180</v>
      </c>
      <c r="E612"/>
      <c r="F612" t="s">
        <v>181</v>
      </c>
    </row>
    <row r="613" spans="1:6" x14ac:dyDescent="0.2">
      <c r="A613">
        <v>43924264</v>
      </c>
      <c r="B613">
        <v>2017</v>
      </c>
      <c r="C613">
        <v>49.2571050476935</v>
      </c>
      <c r="D613" t="s">
        <v>180</v>
      </c>
      <c r="E613"/>
      <c r="F613" t="s">
        <v>181</v>
      </c>
    </row>
    <row r="614" spans="1:6" x14ac:dyDescent="0.2">
      <c r="A614">
        <v>43924264</v>
      </c>
      <c r="B614">
        <v>2016</v>
      </c>
      <c r="C614">
        <v>37.287611332561497</v>
      </c>
      <c r="D614" t="s">
        <v>180</v>
      </c>
      <c r="E614"/>
      <c r="F614" t="s">
        <v>181</v>
      </c>
    </row>
    <row r="615" spans="1:6" x14ac:dyDescent="0.2">
      <c r="A615">
        <v>43924264</v>
      </c>
      <c r="B615">
        <v>2015</v>
      </c>
      <c r="C615">
        <v>46.206000000000003</v>
      </c>
      <c r="D615" t="s">
        <v>180</v>
      </c>
      <c r="E615"/>
      <c r="F615" t="s">
        <v>181</v>
      </c>
    </row>
    <row r="616" spans="1:6" x14ac:dyDescent="0.2">
      <c r="A616">
        <v>43924264</v>
      </c>
      <c r="B616">
        <v>2014</v>
      </c>
      <c r="C616">
        <v>36.875</v>
      </c>
      <c r="D616" t="s">
        <v>180</v>
      </c>
      <c r="E616"/>
      <c r="F616" t="s">
        <v>181</v>
      </c>
    </row>
    <row r="617" spans="1:6" x14ac:dyDescent="0.2">
      <c r="A617">
        <v>43924264</v>
      </c>
      <c r="B617">
        <v>2013</v>
      </c>
      <c r="C617">
        <v>34.451896551724097</v>
      </c>
      <c r="D617" t="s">
        <v>180</v>
      </c>
      <c r="E617"/>
      <c r="F617" t="s">
        <v>181</v>
      </c>
    </row>
    <row r="618" spans="1:6" x14ac:dyDescent="0.2">
      <c r="A618">
        <v>43924264</v>
      </c>
      <c r="B618">
        <v>2012</v>
      </c>
      <c r="C618">
        <v>35.036987322893403</v>
      </c>
      <c r="D618" t="s">
        <v>180</v>
      </c>
      <c r="E618"/>
      <c r="F618" t="s">
        <v>181</v>
      </c>
    </row>
    <row r="619" spans="1:6" x14ac:dyDescent="0.2">
      <c r="A619">
        <v>43924264</v>
      </c>
      <c r="B619">
        <v>2011</v>
      </c>
      <c r="C619">
        <v>33.490499999999997</v>
      </c>
      <c r="D619" t="s">
        <v>180</v>
      </c>
      <c r="E619"/>
      <c r="F619" t="s">
        <v>181</v>
      </c>
    </row>
    <row r="620" spans="1:6" x14ac:dyDescent="0.2">
      <c r="A620">
        <v>43924264</v>
      </c>
      <c r="B620">
        <v>2010</v>
      </c>
      <c r="C620">
        <v>34.594819999999999</v>
      </c>
      <c r="D620" t="s">
        <v>180</v>
      </c>
      <c r="E620"/>
      <c r="F620" t="s">
        <v>181</v>
      </c>
    </row>
    <row r="621" spans="1:6" x14ac:dyDescent="0.2">
      <c r="A621">
        <v>39361239</v>
      </c>
      <c r="B621">
        <v>2020</v>
      </c>
      <c r="C621">
        <v>73.181818181818201</v>
      </c>
      <c r="D621" t="s">
        <v>743</v>
      </c>
      <c r="E621" t="s">
        <v>1</v>
      </c>
      <c r="F621" t="s">
        <v>1126</v>
      </c>
    </row>
    <row r="622" spans="1:6" x14ac:dyDescent="0.2">
      <c r="A622">
        <v>39361239</v>
      </c>
      <c r="B622">
        <v>2019</v>
      </c>
      <c r="C622">
        <v>58.749166666666703</v>
      </c>
      <c r="D622" t="s">
        <v>743</v>
      </c>
      <c r="E622" t="s">
        <v>1</v>
      </c>
      <c r="F622" t="s">
        <v>1126</v>
      </c>
    </row>
    <row r="623" spans="1:6" x14ac:dyDescent="0.2">
      <c r="A623">
        <v>39361239</v>
      </c>
      <c r="B623">
        <v>2018</v>
      </c>
      <c r="C623">
        <v>69.799333333333294</v>
      </c>
      <c r="D623" t="s">
        <v>743</v>
      </c>
      <c r="E623" t="s">
        <v>1</v>
      </c>
      <c r="F623" t="s">
        <v>1126</v>
      </c>
    </row>
    <row r="624" spans="1:6" x14ac:dyDescent="0.2">
      <c r="A624">
        <v>39361239</v>
      </c>
      <c r="B624">
        <v>2017</v>
      </c>
      <c r="C624">
        <v>63.498750000000001</v>
      </c>
      <c r="D624" t="s">
        <v>743</v>
      </c>
      <c r="E624" t="s">
        <v>1</v>
      </c>
      <c r="F624" t="s">
        <v>1126</v>
      </c>
    </row>
    <row r="625" spans="1:6" x14ac:dyDescent="0.2">
      <c r="A625">
        <v>39361239</v>
      </c>
      <c r="B625">
        <v>2016</v>
      </c>
      <c r="C625">
        <v>44.75</v>
      </c>
      <c r="D625" t="s">
        <v>743</v>
      </c>
      <c r="E625" t="s">
        <v>1</v>
      </c>
      <c r="F625" t="s">
        <v>1126</v>
      </c>
    </row>
    <row r="626" spans="1:6" x14ac:dyDescent="0.2">
      <c r="A626">
        <v>39361239</v>
      </c>
      <c r="B626">
        <v>2015</v>
      </c>
      <c r="C626">
        <v>61.4</v>
      </c>
      <c r="D626" t="s">
        <v>743</v>
      </c>
      <c r="E626" t="s">
        <v>1</v>
      </c>
      <c r="F626" t="s">
        <v>1126</v>
      </c>
    </row>
    <row r="627" spans="1:6" x14ac:dyDescent="0.2">
      <c r="A627">
        <v>39361239</v>
      </c>
      <c r="B627">
        <v>2014</v>
      </c>
      <c r="C627">
        <v>54</v>
      </c>
      <c r="D627" t="s">
        <v>743</v>
      </c>
      <c r="E627" t="s">
        <v>1</v>
      </c>
      <c r="F627" t="s">
        <v>1126</v>
      </c>
    </row>
    <row r="628" spans="1:6" x14ac:dyDescent="0.2">
      <c r="A628">
        <v>43991530</v>
      </c>
      <c r="B628">
        <v>2020</v>
      </c>
      <c r="C628">
        <v>10.446532489283801</v>
      </c>
      <c r="D628" t="s">
        <v>480</v>
      </c>
      <c r="E628" t="s">
        <v>481</v>
      </c>
      <c r="F628" t="s">
        <v>68</v>
      </c>
    </row>
    <row r="629" spans="1:6" x14ac:dyDescent="0.2">
      <c r="A629">
        <v>43991530</v>
      </c>
      <c r="B629">
        <v>2019</v>
      </c>
      <c r="C629">
        <v>13.323823929854299</v>
      </c>
      <c r="D629" t="s">
        <v>480</v>
      </c>
      <c r="E629" t="s">
        <v>481</v>
      </c>
      <c r="F629" t="s">
        <v>68</v>
      </c>
    </row>
    <row r="630" spans="1:6" x14ac:dyDescent="0.2">
      <c r="A630">
        <v>43991530</v>
      </c>
      <c r="B630">
        <v>2018</v>
      </c>
      <c r="C630">
        <v>10.6128044634423</v>
      </c>
      <c r="D630" t="s">
        <v>480</v>
      </c>
      <c r="E630" t="s">
        <v>481</v>
      </c>
      <c r="F630" t="s">
        <v>68</v>
      </c>
    </row>
    <row r="631" spans="1:6" x14ac:dyDescent="0.2">
      <c r="A631">
        <v>43991530</v>
      </c>
      <c r="B631">
        <v>2017</v>
      </c>
      <c r="C631">
        <v>10.969932844932799</v>
      </c>
      <c r="D631" t="s">
        <v>480</v>
      </c>
      <c r="E631" t="s">
        <v>481</v>
      </c>
      <c r="F631" t="s">
        <v>68</v>
      </c>
    </row>
    <row r="632" spans="1:6" x14ac:dyDescent="0.2">
      <c r="A632">
        <v>63983330</v>
      </c>
      <c r="B632">
        <v>2019</v>
      </c>
      <c r="C632">
        <v>55.802045385170899</v>
      </c>
      <c r="D632" t="s">
        <v>660</v>
      </c>
      <c r="E632" t="s">
        <v>32</v>
      </c>
      <c r="F632" t="s">
        <v>33</v>
      </c>
    </row>
    <row r="633" spans="1:6" x14ac:dyDescent="0.2">
      <c r="A633">
        <v>63983330</v>
      </c>
      <c r="B633">
        <v>2018</v>
      </c>
      <c r="C633">
        <v>57.639756537817803</v>
      </c>
      <c r="D633" t="s">
        <v>660</v>
      </c>
      <c r="E633" t="s">
        <v>32</v>
      </c>
      <c r="F633" t="s">
        <v>33</v>
      </c>
    </row>
    <row r="634" spans="1:6" x14ac:dyDescent="0.2">
      <c r="A634">
        <v>93418894</v>
      </c>
      <c r="B634">
        <v>2018</v>
      </c>
      <c r="C634">
        <v>53.6</v>
      </c>
      <c r="D634" t="s">
        <v>660</v>
      </c>
      <c r="E634" t="s">
        <v>661</v>
      </c>
      <c r="F634" t="s">
        <v>1126</v>
      </c>
    </row>
    <row r="635" spans="1:6" x14ac:dyDescent="0.2">
      <c r="A635">
        <v>93418894</v>
      </c>
      <c r="B635">
        <v>2017</v>
      </c>
      <c r="C635">
        <v>67.3333333333333</v>
      </c>
      <c r="D635" t="s">
        <v>660</v>
      </c>
      <c r="E635" t="s">
        <v>661</v>
      </c>
      <c r="F635" t="s">
        <v>1126</v>
      </c>
    </row>
    <row r="636" spans="1:6" x14ac:dyDescent="0.2">
      <c r="A636">
        <v>93418894</v>
      </c>
      <c r="B636">
        <v>2016</v>
      </c>
      <c r="C636">
        <v>57.665555555555599</v>
      </c>
      <c r="D636" t="s">
        <v>660</v>
      </c>
      <c r="E636" t="s">
        <v>661</v>
      </c>
      <c r="F636" t="s">
        <v>1126</v>
      </c>
    </row>
    <row r="637" spans="1:6" x14ac:dyDescent="0.2">
      <c r="A637">
        <v>40460972</v>
      </c>
      <c r="B637">
        <v>2020</v>
      </c>
      <c r="C637">
        <v>50.9900434742069</v>
      </c>
      <c r="D637" t="s">
        <v>1048</v>
      </c>
      <c r="E637" t="s">
        <v>298</v>
      </c>
      <c r="F637" t="s">
        <v>33</v>
      </c>
    </row>
    <row r="638" spans="1:6" x14ac:dyDescent="0.2">
      <c r="A638">
        <v>40460972</v>
      </c>
      <c r="B638">
        <v>2019</v>
      </c>
      <c r="C638">
        <v>46.384680330653602</v>
      </c>
      <c r="D638" t="s">
        <v>1048</v>
      </c>
      <c r="E638" t="s">
        <v>298</v>
      </c>
      <c r="F638" t="s">
        <v>33</v>
      </c>
    </row>
    <row r="639" spans="1:6" x14ac:dyDescent="0.2">
      <c r="A639">
        <v>40460972</v>
      </c>
      <c r="B639">
        <v>2018</v>
      </c>
      <c r="C639">
        <v>61.667432657093897</v>
      </c>
      <c r="D639" t="s">
        <v>1048</v>
      </c>
      <c r="E639" t="s">
        <v>298</v>
      </c>
      <c r="F639" t="s">
        <v>33</v>
      </c>
    </row>
    <row r="640" spans="1:6" x14ac:dyDescent="0.2">
      <c r="A640">
        <v>85951074</v>
      </c>
      <c r="B640">
        <v>2020</v>
      </c>
      <c r="C640">
        <v>16.084207805027098</v>
      </c>
      <c r="D640" t="s">
        <v>744</v>
      </c>
      <c r="E640" t="s">
        <v>745</v>
      </c>
      <c r="F640" t="s">
        <v>388</v>
      </c>
    </row>
    <row r="641" spans="1:6" x14ac:dyDescent="0.2">
      <c r="A641">
        <v>85951074</v>
      </c>
      <c r="B641">
        <v>2019</v>
      </c>
      <c r="C641">
        <v>14.6951009907886</v>
      </c>
      <c r="D641" t="s">
        <v>744</v>
      </c>
      <c r="E641" t="s">
        <v>745</v>
      </c>
      <c r="F641" t="s">
        <v>388</v>
      </c>
    </row>
    <row r="642" spans="1:6" x14ac:dyDescent="0.2">
      <c r="A642">
        <v>85951074</v>
      </c>
      <c r="B642">
        <v>2018</v>
      </c>
      <c r="C642">
        <v>14.1231171165392</v>
      </c>
      <c r="D642" t="s">
        <v>744</v>
      </c>
      <c r="E642" t="s">
        <v>745</v>
      </c>
      <c r="F642" t="s">
        <v>388</v>
      </c>
    </row>
    <row r="643" spans="1:6" x14ac:dyDescent="0.2">
      <c r="A643">
        <v>85951074</v>
      </c>
      <c r="B643">
        <v>2017</v>
      </c>
      <c r="C643">
        <v>18.172536546780702</v>
      </c>
      <c r="D643" t="s">
        <v>744</v>
      </c>
      <c r="E643" t="s">
        <v>745</v>
      </c>
      <c r="F643" t="s">
        <v>388</v>
      </c>
    </row>
    <row r="644" spans="1:6" x14ac:dyDescent="0.2">
      <c r="A644">
        <v>85951074</v>
      </c>
      <c r="B644">
        <v>2016</v>
      </c>
      <c r="C644">
        <v>18.423547664195802</v>
      </c>
      <c r="D644" t="s">
        <v>744</v>
      </c>
      <c r="E644" t="s">
        <v>745</v>
      </c>
      <c r="F644" t="s">
        <v>388</v>
      </c>
    </row>
    <row r="645" spans="1:6" x14ac:dyDescent="0.2">
      <c r="A645">
        <v>85951074</v>
      </c>
      <c r="B645">
        <v>2015</v>
      </c>
      <c r="C645">
        <v>21.014978761457598</v>
      </c>
      <c r="D645" t="s">
        <v>744</v>
      </c>
      <c r="E645" t="s">
        <v>745</v>
      </c>
      <c r="F645" t="s">
        <v>388</v>
      </c>
    </row>
    <row r="646" spans="1:6" x14ac:dyDescent="0.2">
      <c r="A646">
        <v>85951074</v>
      </c>
      <c r="B646">
        <v>2014</v>
      </c>
      <c r="C646">
        <v>31.1422533644756</v>
      </c>
      <c r="D646" t="s">
        <v>744</v>
      </c>
      <c r="E646" t="s">
        <v>745</v>
      </c>
      <c r="F646" t="s">
        <v>388</v>
      </c>
    </row>
    <row r="647" spans="1:6" x14ac:dyDescent="0.2">
      <c r="A647">
        <v>93885757</v>
      </c>
      <c r="B647">
        <v>2016</v>
      </c>
      <c r="C647">
        <v>24.879182097322001</v>
      </c>
      <c r="D647" t="s">
        <v>567</v>
      </c>
      <c r="E647"/>
      <c r="F647" t="s">
        <v>501</v>
      </c>
    </row>
    <row r="648" spans="1:6" x14ac:dyDescent="0.2">
      <c r="A648">
        <v>99657259</v>
      </c>
      <c r="B648">
        <v>2020</v>
      </c>
      <c r="C648">
        <v>14.5043332322882</v>
      </c>
      <c r="D648" t="s">
        <v>748</v>
      </c>
      <c r="E648" t="s">
        <v>749</v>
      </c>
      <c r="F648" t="s">
        <v>42</v>
      </c>
    </row>
    <row r="649" spans="1:6" x14ac:dyDescent="0.2">
      <c r="A649">
        <v>99657259</v>
      </c>
      <c r="B649">
        <v>2019</v>
      </c>
      <c r="C649">
        <v>13.6136031712915</v>
      </c>
      <c r="D649" t="s">
        <v>748</v>
      </c>
      <c r="E649" t="s">
        <v>749</v>
      </c>
      <c r="F649" t="s">
        <v>42</v>
      </c>
    </row>
    <row r="650" spans="1:6" x14ac:dyDescent="0.2">
      <c r="A650">
        <v>99657259</v>
      </c>
      <c r="B650">
        <v>2018</v>
      </c>
      <c r="C650">
        <v>15.466962477960699</v>
      </c>
      <c r="D650" t="s">
        <v>748</v>
      </c>
      <c r="E650" t="s">
        <v>749</v>
      </c>
      <c r="F650" t="s">
        <v>42</v>
      </c>
    </row>
    <row r="651" spans="1:6" x14ac:dyDescent="0.2">
      <c r="A651">
        <v>99657259</v>
      </c>
      <c r="B651">
        <v>2016</v>
      </c>
      <c r="C651">
        <v>15.4599217858605</v>
      </c>
      <c r="D651" t="s">
        <v>748</v>
      </c>
      <c r="E651" t="s">
        <v>749</v>
      </c>
      <c r="F651" t="s">
        <v>42</v>
      </c>
    </row>
    <row r="652" spans="1:6" x14ac:dyDescent="0.2">
      <c r="A652">
        <v>59267070</v>
      </c>
      <c r="B652">
        <v>2020</v>
      </c>
      <c r="C652">
        <v>30.246552078624699</v>
      </c>
      <c r="D652" t="s">
        <v>273</v>
      </c>
      <c r="E652" t="s">
        <v>274</v>
      </c>
      <c r="F652" t="s">
        <v>49</v>
      </c>
    </row>
    <row r="653" spans="1:6" x14ac:dyDescent="0.2">
      <c r="A653">
        <v>59267070</v>
      </c>
      <c r="B653">
        <v>2018</v>
      </c>
      <c r="C653">
        <v>29.1953754525283</v>
      </c>
      <c r="D653" t="s">
        <v>273</v>
      </c>
      <c r="E653" t="s">
        <v>274</v>
      </c>
      <c r="F653" t="s">
        <v>49</v>
      </c>
    </row>
    <row r="654" spans="1:6" x14ac:dyDescent="0.2">
      <c r="A654">
        <v>59267070</v>
      </c>
      <c r="B654">
        <v>2016</v>
      </c>
      <c r="C654">
        <v>26.756726075604501</v>
      </c>
      <c r="D654" t="s">
        <v>273</v>
      </c>
      <c r="E654" t="s">
        <v>274</v>
      </c>
      <c r="F654" t="s">
        <v>49</v>
      </c>
    </row>
    <row r="655" spans="1:6" x14ac:dyDescent="0.2">
      <c r="A655">
        <v>26996027</v>
      </c>
      <c r="B655">
        <v>2020</v>
      </c>
      <c r="C655">
        <v>16.991410980552399</v>
      </c>
      <c r="D655" t="s">
        <v>20</v>
      </c>
      <c r="E655" t="s">
        <v>21</v>
      </c>
      <c r="F655" t="s">
        <v>22</v>
      </c>
    </row>
    <row r="656" spans="1:6" x14ac:dyDescent="0.2">
      <c r="A656">
        <v>26996027</v>
      </c>
      <c r="B656">
        <v>2019</v>
      </c>
      <c r="C656">
        <v>16.9671817948851</v>
      </c>
      <c r="D656" t="s">
        <v>20</v>
      </c>
      <c r="E656" t="s">
        <v>21</v>
      </c>
      <c r="F656" t="s">
        <v>22</v>
      </c>
    </row>
    <row r="657" spans="1:6" x14ac:dyDescent="0.2">
      <c r="A657">
        <v>26996027</v>
      </c>
      <c r="B657">
        <v>2018</v>
      </c>
      <c r="C657">
        <v>16.0659307614402</v>
      </c>
      <c r="D657" t="s">
        <v>20</v>
      </c>
      <c r="E657" t="s">
        <v>21</v>
      </c>
      <c r="F657" t="s">
        <v>22</v>
      </c>
    </row>
    <row r="658" spans="1:6" x14ac:dyDescent="0.2">
      <c r="A658">
        <v>26996027</v>
      </c>
      <c r="B658">
        <v>2017</v>
      </c>
      <c r="C658">
        <v>19.479894216043601</v>
      </c>
      <c r="D658" t="s">
        <v>20</v>
      </c>
      <c r="E658" t="s">
        <v>21</v>
      </c>
      <c r="F658" t="s">
        <v>22</v>
      </c>
    </row>
    <row r="659" spans="1:6" x14ac:dyDescent="0.2">
      <c r="A659">
        <v>26996027</v>
      </c>
      <c r="B659">
        <v>2016</v>
      </c>
      <c r="C659">
        <v>44.820881016612802</v>
      </c>
      <c r="D659" t="s">
        <v>20</v>
      </c>
      <c r="E659" t="s">
        <v>21</v>
      </c>
      <c r="F659" t="s">
        <v>22</v>
      </c>
    </row>
    <row r="660" spans="1:6" x14ac:dyDescent="0.2">
      <c r="A660">
        <v>26996027</v>
      </c>
      <c r="B660">
        <v>2015</v>
      </c>
      <c r="C660">
        <v>59.976402726796003</v>
      </c>
      <c r="D660" t="s">
        <v>20</v>
      </c>
      <c r="E660" t="s">
        <v>21</v>
      </c>
      <c r="F660" t="s">
        <v>22</v>
      </c>
    </row>
    <row r="661" spans="1:6" x14ac:dyDescent="0.2">
      <c r="A661">
        <v>26996027</v>
      </c>
      <c r="B661">
        <v>2014</v>
      </c>
      <c r="C661">
        <v>47.810221895383002</v>
      </c>
      <c r="D661" t="s">
        <v>20</v>
      </c>
      <c r="E661" t="s">
        <v>21</v>
      </c>
      <c r="F661" t="s">
        <v>22</v>
      </c>
    </row>
    <row r="662" spans="1:6" x14ac:dyDescent="0.2">
      <c r="A662">
        <v>26996027</v>
      </c>
      <c r="B662">
        <v>2013</v>
      </c>
      <c r="C662">
        <v>57.132459970887901</v>
      </c>
      <c r="D662" t="s">
        <v>20</v>
      </c>
      <c r="E662" t="s">
        <v>21</v>
      </c>
      <c r="F662" t="s">
        <v>22</v>
      </c>
    </row>
    <row r="663" spans="1:6" x14ac:dyDescent="0.2">
      <c r="A663">
        <v>26996027</v>
      </c>
      <c r="B663">
        <v>2012</v>
      </c>
      <c r="C663">
        <v>53.630059397966399</v>
      </c>
      <c r="D663" t="s">
        <v>20</v>
      </c>
      <c r="E663" t="s">
        <v>21</v>
      </c>
      <c r="F663" t="s">
        <v>22</v>
      </c>
    </row>
    <row r="664" spans="1:6" x14ac:dyDescent="0.2">
      <c r="A664">
        <v>26996027</v>
      </c>
      <c r="B664">
        <v>2011</v>
      </c>
      <c r="C664">
        <v>40</v>
      </c>
      <c r="D664" t="s">
        <v>20</v>
      </c>
      <c r="E664" t="s">
        <v>21</v>
      </c>
      <c r="F664" t="s">
        <v>22</v>
      </c>
    </row>
    <row r="665" spans="1:6" x14ac:dyDescent="0.2">
      <c r="A665">
        <v>26996027</v>
      </c>
      <c r="B665">
        <v>2010</v>
      </c>
      <c r="C665">
        <v>47</v>
      </c>
      <c r="D665" t="s">
        <v>20</v>
      </c>
      <c r="E665" t="s">
        <v>21</v>
      </c>
      <c r="F665" t="s">
        <v>22</v>
      </c>
    </row>
    <row r="666" spans="1:6" x14ac:dyDescent="0.2">
      <c r="A666">
        <v>33953839</v>
      </c>
      <c r="B666">
        <v>2020</v>
      </c>
      <c r="C666">
        <v>55.974498240052199</v>
      </c>
      <c r="D666" t="s">
        <v>706</v>
      </c>
      <c r="E666"/>
      <c r="F666" t="s">
        <v>33</v>
      </c>
    </row>
    <row r="667" spans="1:6" x14ac:dyDescent="0.2">
      <c r="A667">
        <v>33953839</v>
      </c>
      <c r="B667">
        <v>2019</v>
      </c>
      <c r="C667">
        <v>58.563853984894301</v>
      </c>
      <c r="D667" t="s">
        <v>706</v>
      </c>
      <c r="E667"/>
      <c r="F667" t="s">
        <v>33</v>
      </c>
    </row>
    <row r="668" spans="1:6" x14ac:dyDescent="0.2">
      <c r="A668">
        <v>33953839</v>
      </c>
      <c r="B668">
        <v>2018</v>
      </c>
      <c r="C668">
        <v>58.734231137894199</v>
      </c>
      <c r="D668" t="s">
        <v>706</v>
      </c>
      <c r="E668"/>
      <c r="F668" t="s">
        <v>33</v>
      </c>
    </row>
    <row r="669" spans="1:6" x14ac:dyDescent="0.2">
      <c r="A669">
        <v>33953839</v>
      </c>
      <c r="B669">
        <v>2017</v>
      </c>
      <c r="C669">
        <v>48.103704200328998</v>
      </c>
      <c r="D669" t="s">
        <v>706</v>
      </c>
      <c r="E669"/>
      <c r="F669" t="s">
        <v>33</v>
      </c>
    </row>
    <row r="670" spans="1:6" x14ac:dyDescent="0.2">
      <c r="A670">
        <v>33953839</v>
      </c>
      <c r="B670">
        <v>2015</v>
      </c>
      <c r="C670">
        <v>42.937233032747997</v>
      </c>
      <c r="D670" t="s">
        <v>706</v>
      </c>
      <c r="E670"/>
      <c r="F670" t="s">
        <v>33</v>
      </c>
    </row>
    <row r="671" spans="1:6" x14ac:dyDescent="0.2">
      <c r="A671">
        <v>33953839</v>
      </c>
      <c r="B671">
        <v>2014</v>
      </c>
      <c r="C671">
        <v>54.752691568612001</v>
      </c>
      <c r="D671" t="s">
        <v>706</v>
      </c>
      <c r="E671"/>
      <c r="F671" t="s">
        <v>33</v>
      </c>
    </row>
    <row r="672" spans="1:6" x14ac:dyDescent="0.2">
      <c r="A672">
        <v>33953839</v>
      </c>
      <c r="B672">
        <v>2013</v>
      </c>
      <c r="C672">
        <v>48.033216783216801</v>
      </c>
      <c r="D672" t="s">
        <v>706</v>
      </c>
      <c r="E672"/>
      <c r="F672" t="s">
        <v>33</v>
      </c>
    </row>
    <row r="673" spans="1:6" x14ac:dyDescent="0.2">
      <c r="A673">
        <v>33953839</v>
      </c>
      <c r="B673">
        <v>2012</v>
      </c>
      <c r="C673">
        <v>56.634304207119698</v>
      </c>
      <c r="D673" t="s">
        <v>706</v>
      </c>
      <c r="E673"/>
      <c r="F673" t="s">
        <v>33</v>
      </c>
    </row>
    <row r="674" spans="1:6" x14ac:dyDescent="0.2">
      <c r="A674">
        <v>33953839</v>
      </c>
      <c r="B674">
        <v>2011</v>
      </c>
      <c r="C674">
        <v>44.673539518900299</v>
      </c>
      <c r="D674" t="s">
        <v>706</v>
      </c>
      <c r="E674"/>
      <c r="F674" t="s">
        <v>33</v>
      </c>
    </row>
    <row r="675" spans="1:6" x14ac:dyDescent="0.2">
      <c r="A675">
        <v>33953839</v>
      </c>
      <c r="B675">
        <v>2010</v>
      </c>
      <c r="C675">
        <v>44.471153846153904</v>
      </c>
      <c r="D675" t="s">
        <v>706</v>
      </c>
      <c r="E675"/>
      <c r="F675" t="s">
        <v>33</v>
      </c>
    </row>
    <row r="676" spans="1:6" x14ac:dyDescent="0.2">
      <c r="A676">
        <v>60459755</v>
      </c>
      <c r="B676">
        <v>2020</v>
      </c>
      <c r="C676">
        <v>26.3581704807603</v>
      </c>
      <c r="D676" t="s">
        <v>841</v>
      </c>
      <c r="E676" t="s">
        <v>842</v>
      </c>
      <c r="F676" t="s">
        <v>320</v>
      </c>
    </row>
    <row r="677" spans="1:6" x14ac:dyDescent="0.2">
      <c r="A677">
        <v>60459755</v>
      </c>
      <c r="B677">
        <v>2019</v>
      </c>
      <c r="C677">
        <v>24.4824902847716</v>
      </c>
      <c r="D677" t="s">
        <v>841</v>
      </c>
      <c r="E677" t="s">
        <v>842</v>
      </c>
      <c r="F677" t="s">
        <v>320</v>
      </c>
    </row>
    <row r="678" spans="1:6" x14ac:dyDescent="0.2">
      <c r="A678">
        <v>60459755</v>
      </c>
      <c r="B678">
        <v>2018</v>
      </c>
      <c r="C678">
        <v>37.303768647052202</v>
      </c>
      <c r="D678" t="s">
        <v>841</v>
      </c>
      <c r="E678" t="s">
        <v>842</v>
      </c>
      <c r="F678" t="s">
        <v>320</v>
      </c>
    </row>
    <row r="679" spans="1:6" x14ac:dyDescent="0.2">
      <c r="A679">
        <v>60459755</v>
      </c>
      <c r="B679">
        <v>2017</v>
      </c>
      <c r="C679">
        <v>26.029459402808701</v>
      </c>
      <c r="D679" t="s">
        <v>841</v>
      </c>
      <c r="E679" t="s">
        <v>842</v>
      </c>
      <c r="F679" t="s">
        <v>320</v>
      </c>
    </row>
    <row r="680" spans="1:6" x14ac:dyDescent="0.2">
      <c r="A680">
        <v>60459755</v>
      </c>
      <c r="B680">
        <v>2016</v>
      </c>
      <c r="C680">
        <v>21.464792161252699</v>
      </c>
      <c r="D680" t="s">
        <v>841</v>
      </c>
      <c r="E680" t="s">
        <v>842</v>
      </c>
      <c r="F680" t="s">
        <v>320</v>
      </c>
    </row>
    <row r="681" spans="1:6" x14ac:dyDescent="0.2">
      <c r="A681">
        <v>60459755</v>
      </c>
      <c r="B681">
        <v>2015</v>
      </c>
      <c r="C681">
        <v>33.9220974742503</v>
      </c>
      <c r="D681" t="s">
        <v>841</v>
      </c>
      <c r="E681" t="s">
        <v>842</v>
      </c>
      <c r="F681" t="s">
        <v>320</v>
      </c>
    </row>
    <row r="682" spans="1:6" x14ac:dyDescent="0.2">
      <c r="A682">
        <v>78248065</v>
      </c>
      <c r="B682">
        <v>2020</v>
      </c>
      <c r="C682">
        <v>67.497500000000002</v>
      </c>
      <c r="D682" t="s">
        <v>53</v>
      </c>
      <c r="E682" t="s">
        <v>30</v>
      </c>
      <c r="F682" t="s">
        <v>1126</v>
      </c>
    </row>
    <row r="683" spans="1:6" x14ac:dyDescent="0.2">
      <c r="A683">
        <v>68462387</v>
      </c>
      <c r="B683">
        <v>2020</v>
      </c>
      <c r="C683">
        <v>45.327270356895603</v>
      </c>
      <c r="D683" t="s">
        <v>53</v>
      </c>
      <c r="E683" t="s">
        <v>18</v>
      </c>
      <c r="F683" t="s">
        <v>19</v>
      </c>
    </row>
    <row r="684" spans="1:6" x14ac:dyDescent="0.2">
      <c r="A684">
        <v>78248065</v>
      </c>
      <c r="B684">
        <v>2019</v>
      </c>
      <c r="C684">
        <v>68.75</v>
      </c>
      <c r="D684" t="s">
        <v>53</v>
      </c>
      <c r="E684" t="s">
        <v>30</v>
      </c>
      <c r="F684" t="s">
        <v>1126</v>
      </c>
    </row>
    <row r="685" spans="1:6" x14ac:dyDescent="0.2">
      <c r="A685">
        <v>68462387</v>
      </c>
      <c r="B685">
        <v>2019</v>
      </c>
      <c r="C685">
        <v>45.289855072463801</v>
      </c>
      <c r="D685" t="s">
        <v>53</v>
      </c>
      <c r="E685" t="s">
        <v>18</v>
      </c>
      <c r="F685" t="s">
        <v>19</v>
      </c>
    </row>
    <row r="686" spans="1:6" x14ac:dyDescent="0.2">
      <c r="A686">
        <v>78248065</v>
      </c>
      <c r="B686">
        <v>2018</v>
      </c>
      <c r="C686">
        <v>64.428571428571402</v>
      </c>
      <c r="D686" t="s">
        <v>53</v>
      </c>
      <c r="E686" t="s">
        <v>30</v>
      </c>
      <c r="F686" t="s">
        <v>1126</v>
      </c>
    </row>
    <row r="687" spans="1:6" x14ac:dyDescent="0.2">
      <c r="A687">
        <v>68462387</v>
      </c>
      <c r="B687">
        <v>2018</v>
      </c>
      <c r="C687">
        <v>41.050522014226601</v>
      </c>
      <c r="D687" t="s">
        <v>53</v>
      </c>
      <c r="E687" t="s">
        <v>18</v>
      </c>
      <c r="F687" t="s">
        <v>19</v>
      </c>
    </row>
    <row r="688" spans="1:6" x14ac:dyDescent="0.2">
      <c r="A688">
        <v>68462387</v>
      </c>
      <c r="B688">
        <v>2017</v>
      </c>
      <c r="C688">
        <v>33.4464194699286</v>
      </c>
      <c r="D688" t="s">
        <v>53</v>
      </c>
      <c r="E688" t="s">
        <v>18</v>
      </c>
      <c r="F688" t="s">
        <v>19</v>
      </c>
    </row>
    <row r="689" spans="1:6" x14ac:dyDescent="0.2">
      <c r="A689">
        <v>68462387</v>
      </c>
      <c r="B689">
        <v>2016</v>
      </c>
      <c r="C689">
        <v>33.1052554957053</v>
      </c>
      <c r="D689" t="s">
        <v>53</v>
      </c>
      <c r="E689" t="s">
        <v>18</v>
      </c>
      <c r="F689" t="s">
        <v>19</v>
      </c>
    </row>
    <row r="690" spans="1:6" x14ac:dyDescent="0.2">
      <c r="A690">
        <v>68462387</v>
      </c>
      <c r="B690">
        <v>2015</v>
      </c>
      <c r="C690">
        <v>40.849673202614397</v>
      </c>
      <c r="D690" t="s">
        <v>53</v>
      </c>
      <c r="E690" t="s">
        <v>18</v>
      </c>
      <c r="F690" t="s">
        <v>19</v>
      </c>
    </row>
    <row r="691" spans="1:6" x14ac:dyDescent="0.2">
      <c r="A691">
        <v>68462387</v>
      </c>
      <c r="B691">
        <v>2013</v>
      </c>
      <c r="C691">
        <v>29.797979797979799</v>
      </c>
      <c r="D691" t="s">
        <v>53</v>
      </c>
      <c r="E691" t="s">
        <v>18</v>
      </c>
      <c r="F691" t="s">
        <v>19</v>
      </c>
    </row>
    <row r="692" spans="1:6" x14ac:dyDescent="0.2">
      <c r="A692">
        <v>25557913</v>
      </c>
      <c r="B692">
        <v>2020</v>
      </c>
      <c r="C692">
        <v>22.994307506800101</v>
      </c>
      <c r="D692" t="s">
        <v>985</v>
      </c>
      <c r="E692" t="s">
        <v>34</v>
      </c>
      <c r="F692" t="s">
        <v>35</v>
      </c>
    </row>
    <row r="693" spans="1:6" x14ac:dyDescent="0.2">
      <c r="A693">
        <v>25557913</v>
      </c>
      <c r="B693">
        <v>2019</v>
      </c>
      <c r="C693">
        <v>29.5229844052594</v>
      </c>
      <c r="D693" t="s">
        <v>985</v>
      </c>
      <c r="E693" t="s">
        <v>34</v>
      </c>
      <c r="F693" t="s">
        <v>35</v>
      </c>
    </row>
    <row r="694" spans="1:6" x14ac:dyDescent="0.2">
      <c r="A694">
        <v>25557913</v>
      </c>
      <c r="B694">
        <v>2018</v>
      </c>
      <c r="C694">
        <v>29.904119890422699</v>
      </c>
      <c r="D694" t="s">
        <v>985</v>
      </c>
      <c r="E694" t="s">
        <v>34</v>
      </c>
      <c r="F694" t="s">
        <v>35</v>
      </c>
    </row>
    <row r="695" spans="1:6" x14ac:dyDescent="0.2">
      <c r="A695">
        <v>25557913</v>
      </c>
      <c r="B695">
        <v>2017</v>
      </c>
      <c r="C695">
        <v>28.271090227793401</v>
      </c>
      <c r="D695" t="s">
        <v>985</v>
      </c>
      <c r="E695" t="s">
        <v>34</v>
      </c>
      <c r="F695" t="s">
        <v>35</v>
      </c>
    </row>
    <row r="696" spans="1:6" x14ac:dyDescent="0.2">
      <c r="A696">
        <v>25557913</v>
      </c>
      <c r="B696">
        <v>2016</v>
      </c>
      <c r="C696">
        <v>26.124672180754501</v>
      </c>
      <c r="D696" t="s">
        <v>985</v>
      </c>
      <c r="E696" t="s">
        <v>34</v>
      </c>
      <c r="F696" t="s">
        <v>35</v>
      </c>
    </row>
    <row r="697" spans="1:6" x14ac:dyDescent="0.2">
      <c r="A697">
        <v>25557913</v>
      </c>
      <c r="B697">
        <v>2015</v>
      </c>
      <c r="C697">
        <v>22.7736651126407</v>
      </c>
      <c r="D697" t="s">
        <v>985</v>
      </c>
      <c r="E697" t="s">
        <v>34</v>
      </c>
      <c r="F697" t="s">
        <v>35</v>
      </c>
    </row>
    <row r="698" spans="1:6" x14ac:dyDescent="0.2">
      <c r="A698">
        <v>25557913</v>
      </c>
      <c r="B698">
        <v>2014</v>
      </c>
      <c r="C698">
        <v>31.4577662754897</v>
      </c>
      <c r="D698" t="s">
        <v>985</v>
      </c>
      <c r="E698" t="s">
        <v>34</v>
      </c>
      <c r="F698" t="s">
        <v>35</v>
      </c>
    </row>
    <row r="699" spans="1:6" x14ac:dyDescent="0.2">
      <c r="A699">
        <v>66069092</v>
      </c>
      <c r="B699">
        <v>2019</v>
      </c>
      <c r="C699">
        <v>28.8366799170999</v>
      </c>
      <c r="D699" t="s">
        <v>977</v>
      </c>
      <c r="E699" t="s">
        <v>978</v>
      </c>
      <c r="F699" t="s">
        <v>35</v>
      </c>
    </row>
    <row r="700" spans="1:6" x14ac:dyDescent="0.2">
      <c r="A700">
        <v>27618942</v>
      </c>
      <c r="B700">
        <v>2020</v>
      </c>
      <c r="C700">
        <v>50.857537807464801</v>
      </c>
      <c r="D700" t="s">
        <v>346</v>
      </c>
      <c r="E700" t="s">
        <v>347</v>
      </c>
      <c r="F700" t="s">
        <v>348</v>
      </c>
    </row>
    <row r="701" spans="1:6" x14ac:dyDescent="0.2">
      <c r="A701">
        <v>27618942</v>
      </c>
      <c r="B701">
        <v>2019</v>
      </c>
      <c r="C701">
        <v>53.452670203798299</v>
      </c>
      <c r="D701" t="s">
        <v>346</v>
      </c>
      <c r="E701" t="s">
        <v>347</v>
      </c>
      <c r="F701" t="s">
        <v>348</v>
      </c>
    </row>
    <row r="702" spans="1:6" x14ac:dyDescent="0.2">
      <c r="A702">
        <v>27618942</v>
      </c>
      <c r="B702">
        <v>2018</v>
      </c>
      <c r="C702">
        <v>53.066656400570999</v>
      </c>
      <c r="D702" t="s">
        <v>346</v>
      </c>
      <c r="E702" t="s">
        <v>347</v>
      </c>
      <c r="F702" t="s">
        <v>348</v>
      </c>
    </row>
    <row r="703" spans="1:6" x14ac:dyDescent="0.2">
      <c r="A703">
        <v>27618942</v>
      </c>
      <c r="B703">
        <v>2017</v>
      </c>
      <c r="C703">
        <v>57.197603420416698</v>
      </c>
      <c r="D703" t="s">
        <v>346</v>
      </c>
      <c r="E703" t="s">
        <v>347</v>
      </c>
      <c r="F703" t="s">
        <v>348</v>
      </c>
    </row>
    <row r="704" spans="1:6" x14ac:dyDescent="0.2">
      <c r="A704">
        <v>27618942</v>
      </c>
      <c r="B704">
        <v>2016</v>
      </c>
      <c r="C704">
        <v>52.856433184301999</v>
      </c>
      <c r="D704" t="s">
        <v>346</v>
      </c>
      <c r="E704" t="s">
        <v>347</v>
      </c>
      <c r="F704" t="s">
        <v>348</v>
      </c>
    </row>
    <row r="705" spans="1:6" x14ac:dyDescent="0.2">
      <c r="A705">
        <v>27618942</v>
      </c>
      <c r="B705">
        <v>2015</v>
      </c>
      <c r="C705">
        <v>52.759715567723802</v>
      </c>
      <c r="D705" t="s">
        <v>346</v>
      </c>
      <c r="E705" t="s">
        <v>347</v>
      </c>
      <c r="F705" t="s">
        <v>348</v>
      </c>
    </row>
    <row r="706" spans="1:6" x14ac:dyDescent="0.2">
      <c r="A706">
        <v>27618942</v>
      </c>
      <c r="B706">
        <v>2014</v>
      </c>
      <c r="C706">
        <v>62.936221419975901</v>
      </c>
      <c r="D706" t="s">
        <v>346</v>
      </c>
      <c r="E706" t="s">
        <v>347</v>
      </c>
      <c r="F706" t="s">
        <v>348</v>
      </c>
    </row>
    <row r="707" spans="1:6" x14ac:dyDescent="0.2">
      <c r="A707">
        <v>27618942</v>
      </c>
      <c r="B707">
        <v>2013</v>
      </c>
      <c r="C707">
        <v>51.282051282051299</v>
      </c>
      <c r="D707" t="s">
        <v>346</v>
      </c>
      <c r="E707" t="s">
        <v>347</v>
      </c>
      <c r="F707" t="s">
        <v>348</v>
      </c>
    </row>
    <row r="708" spans="1:6" x14ac:dyDescent="0.2">
      <c r="A708">
        <v>27618942</v>
      </c>
      <c r="B708">
        <v>2012</v>
      </c>
      <c r="C708">
        <v>67.961165048543705</v>
      </c>
      <c r="D708" t="s">
        <v>346</v>
      </c>
      <c r="E708" t="s">
        <v>347</v>
      </c>
      <c r="F708" t="s">
        <v>348</v>
      </c>
    </row>
    <row r="709" spans="1:6" x14ac:dyDescent="0.2">
      <c r="A709">
        <v>27618942</v>
      </c>
      <c r="B709">
        <v>2011</v>
      </c>
      <c r="C709">
        <v>53.191489361702097</v>
      </c>
      <c r="D709" t="s">
        <v>346</v>
      </c>
      <c r="E709" t="s">
        <v>347</v>
      </c>
      <c r="F709" t="s">
        <v>348</v>
      </c>
    </row>
    <row r="710" spans="1:6" x14ac:dyDescent="0.2">
      <c r="A710">
        <v>27618942</v>
      </c>
      <c r="B710">
        <v>2010</v>
      </c>
      <c r="C710">
        <v>42.372881355932201</v>
      </c>
      <c r="D710" t="s">
        <v>346</v>
      </c>
      <c r="E710" t="s">
        <v>347</v>
      </c>
      <c r="F710" t="s">
        <v>348</v>
      </c>
    </row>
    <row r="711" spans="1:6" x14ac:dyDescent="0.2">
      <c r="A711">
        <v>23064357</v>
      </c>
      <c r="B711">
        <v>2020</v>
      </c>
      <c r="C711">
        <v>24.826695138548001</v>
      </c>
      <c r="D711" t="s">
        <v>515</v>
      </c>
      <c r="E711" t="s">
        <v>516</v>
      </c>
      <c r="F711" t="s">
        <v>183</v>
      </c>
    </row>
    <row r="712" spans="1:6" x14ac:dyDescent="0.2">
      <c r="A712">
        <v>23064357</v>
      </c>
      <c r="B712">
        <v>2019</v>
      </c>
      <c r="C712">
        <v>28.288420558937201</v>
      </c>
      <c r="D712" t="s">
        <v>515</v>
      </c>
      <c r="E712" t="s">
        <v>516</v>
      </c>
      <c r="F712" t="s">
        <v>183</v>
      </c>
    </row>
    <row r="713" spans="1:6" x14ac:dyDescent="0.2">
      <c r="A713">
        <v>23064357</v>
      </c>
      <c r="B713">
        <v>2018</v>
      </c>
      <c r="C713">
        <v>27.157459619364399</v>
      </c>
      <c r="D713" t="s">
        <v>515</v>
      </c>
      <c r="E713" t="s">
        <v>516</v>
      </c>
      <c r="F713" t="s">
        <v>183</v>
      </c>
    </row>
    <row r="714" spans="1:6" x14ac:dyDescent="0.2">
      <c r="A714">
        <v>23064357</v>
      </c>
      <c r="B714">
        <v>2016</v>
      </c>
      <c r="C714">
        <v>26.416660826248499</v>
      </c>
      <c r="D714" t="s">
        <v>515</v>
      </c>
      <c r="E714" t="s">
        <v>516</v>
      </c>
      <c r="F714" t="s">
        <v>183</v>
      </c>
    </row>
    <row r="715" spans="1:6" x14ac:dyDescent="0.2">
      <c r="A715">
        <v>23064357</v>
      </c>
      <c r="B715">
        <v>2015</v>
      </c>
      <c r="C715">
        <v>32.239552772923901</v>
      </c>
      <c r="D715" t="s">
        <v>515</v>
      </c>
      <c r="E715" t="s">
        <v>516</v>
      </c>
      <c r="F715" t="s">
        <v>183</v>
      </c>
    </row>
    <row r="716" spans="1:6" x14ac:dyDescent="0.2">
      <c r="A716">
        <v>23064357</v>
      </c>
      <c r="B716">
        <v>2013</v>
      </c>
      <c r="C716">
        <v>25.110590684361199</v>
      </c>
      <c r="D716" t="s">
        <v>515</v>
      </c>
      <c r="E716" t="s">
        <v>516</v>
      </c>
      <c r="F716" t="s">
        <v>183</v>
      </c>
    </row>
    <row r="717" spans="1:6" x14ac:dyDescent="0.2">
      <c r="A717">
        <v>61189137</v>
      </c>
      <c r="B717">
        <v>2018</v>
      </c>
      <c r="C717">
        <v>56.1666666666667</v>
      </c>
      <c r="D717" t="s">
        <v>1072</v>
      </c>
      <c r="E717" t="s">
        <v>681</v>
      </c>
      <c r="F717" t="s">
        <v>1126</v>
      </c>
    </row>
    <row r="718" spans="1:6" x14ac:dyDescent="0.2">
      <c r="A718">
        <v>37955082</v>
      </c>
      <c r="B718">
        <v>2020</v>
      </c>
      <c r="C718">
        <v>51.8750783492941</v>
      </c>
      <c r="D718" t="s">
        <v>454</v>
      </c>
      <c r="E718" t="s">
        <v>455</v>
      </c>
      <c r="F718" t="s">
        <v>428</v>
      </c>
    </row>
    <row r="719" spans="1:6" x14ac:dyDescent="0.2">
      <c r="A719">
        <v>37955082</v>
      </c>
      <c r="B719">
        <v>2019</v>
      </c>
      <c r="C719">
        <v>66.654536978562604</v>
      </c>
      <c r="D719" t="s">
        <v>454</v>
      </c>
      <c r="E719" t="s">
        <v>455</v>
      </c>
      <c r="F719" t="s">
        <v>428</v>
      </c>
    </row>
    <row r="720" spans="1:6" x14ac:dyDescent="0.2">
      <c r="A720">
        <v>37955082</v>
      </c>
      <c r="B720">
        <v>2018</v>
      </c>
      <c r="C720">
        <v>72.4024100280742</v>
      </c>
      <c r="D720" t="s">
        <v>454</v>
      </c>
      <c r="E720" t="s">
        <v>455</v>
      </c>
      <c r="F720" t="s">
        <v>428</v>
      </c>
    </row>
    <row r="721" spans="1:6" x14ac:dyDescent="0.2">
      <c r="A721">
        <v>37955082</v>
      </c>
      <c r="B721">
        <v>2017</v>
      </c>
      <c r="C721">
        <v>64.149552112444496</v>
      </c>
      <c r="D721" t="s">
        <v>454</v>
      </c>
      <c r="E721" t="s">
        <v>455</v>
      </c>
      <c r="F721" t="s">
        <v>428</v>
      </c>
    </row>
    <row r="722" spans="1:6" x14ac:dyDescent="0.2">
      <c r="A722">
        <v>37955082</v>
      </c>
      <c r="B722">
        <v>2016</v>
      </c>
      <c r="C722">
        <v>56.9726236565118</v>
      </c>
      <c r="D722" t="s">
        <v>454</v>
      </c>
      <c r="E722" t="s">
        <v>455</v>
      </c>
      <c r="F722" t="s">
        <v>428</v>
      </c>
    </row>
    <row r="723" spans="1:6" x14ac:dyDescent="0.2">
      <c r="A723">
        <v>37955082</v>
      </c>
      <c r="B723">
        <v>2015</v>
      </c>
      <c r="C723">
        <v>68.054049978808706</v>
      </c>
      <c r="D723" t="s">
        <v>454</v>
      </c>
      <c r="E723" t="s">
        <v>455</v>
      </c>
      <c r="F723" t="s">
        <v>428</v>
      </c>
    </row>
    <row r="724" spans="1:6" x14ac:dyDescent="0.2">
      <c r="A724">
        <v>37955082</v>
      </c>
      <c r="B724">
        <v>2014</v>
      </c>
      <c r="C724">
        <v>70.432940521576597</v>
      </c>
      <c r="D724" t="s">
        <v>454</v>
      </c>
      <c r="E724" t="s">
        <v>455</v>
      </c>
      <c r="F724" t="s">
        <v>428</v>
      </c>
    </row>
    <row r="725" spans="1:6" x14ac:dyDescent="0.2">
      <c r="A725">
        <v>37955082</v>
      </c>
      <c r="B725">
        <v>2013</v>
      </c>
      <c r="C725">
        <v>70.410868124585804</v>
      </c>
      <c r="D725" t="s">
        <v>454</v>
      </c>
      <c r="E725" t="s">
        <v>455</v>
      </c>
      <c r="F725" t="s">
        <v>428</v>
      </c>
    </row>
    <row r="726" spans="1:6" x14ac:dyDescent="0.2">
      <c r="A726">
        <v>37955082</v>
      </c>
      <c r="B726">
        <v>2012</v>
      </c>
      <c r="C726">
        <v>86.313725490196106</v>
      </c>
      <c r="D726" t="s">
        <v>454</v>
      </c>
      <c r="E726" t="s">
        <v>455</v>
      </c>
      <c r="F726" t="s">
        <v>428</v>
      </c>
    </row>
    <row r="727" spans="1:6" x14ac:dyDescent="0.2">
      <c r="A727">
        <v>37955082</v>
      </c>
      <c r="B727">
        <v>2011</v>
      </c>
      <c r="C727">
        <v>65.073529411764696</v>
      </c>
      <c r="D727" t="s">
        <v>454</v>
      </c>
      <c r="E727" t="s">
        <v>455</v>
      </c>
      <c r="F727" t="s">
        <v>428</v>
      </c>
    </row>
    <row r="728" spans="1:6" x14ac:dyDescent="0.2">
      <c r="A728">
        <v>37955082</v>
      </c>
      <c r="B728">
        <v>2010</v>
      </c>
      <c r="C728">
        <v>68.755439512619702</v>
      </c>
      <c r="D728" t="s">
        <v>454</v>
      </c>
      <c r="E728" t="s">
        <v>455</v>
      </c>
      <c r="F728" t="s">
        <v>428</v>
      </c>
    </row>
    <row r="729" spans="1:6" x14ac:dyDescent="0.2">
      <c r="A729">
        <v>84327200</v>
      </c>
      <c r="B729">
        <v>2020</v>
      </c>
      <c r="C729">
        <v>9.1125000000000007</v>
      </c>
      <c r="D729" t="s">
        <v>199</v>
      </c>
      <c r="E729" t="s">
        <v>200</v>
      </c>
      <c r="F729" t="s">
        <v>201</v>
      </c>
    </row>
    <row r="730" spans="1:6" x14ac:dyDescent="0.2">
      <c r="A730">
        <v>84327200</v>
      </c>
      <c r="B730">
        <v>2019</v>
      </c>
      <c r="C730">
        <v>10.375</v>
      </c>
      <c r="D730" t="s">
        <v>199</v>
      </c>
      <c r="E730" t="s">
        <v>200</v>
      </c>
      <c r="F730" t="s">
        <v>201</v>
      </c>
    </row>
    <row r="731" spans="1:6" x14ac:dyDescent="0.2">
      <c r="A731">
        <v>84327200</v>
      </c>
      <c r="B731">
        <v>2018</v>
      </c>
      <c r="C731">
        <v>7.3330769230769199</v>
      </c>
      <c r="D731" t="s">
        <v>199</v>
      </c>
      <c r="E731" t="s">
        <v>200</v>
      </c>
      <c r="F731" t="s">
        <v>201</v>
      </c>
    </row>
    <row r="732" spans="1:6" x14ac:dyDescent="0.2">
      <c r="A732">
        <v>84327200</v>
      </c>
      <c r="B732">
        <v>2016</v>
      </c>
      <c r="C732">
        <v>4.625</v>
      </c>
      <c r="D732" t="s">
        <v>199</v>
      </c>
      <c r="E732" t="s">
        <v>200</v>
      </c>
      <c r="F732" t="s">
        <v>201</v>
      </c>
    </row>
    <row r="733" spans="1:6" x14ac:dyDescent="0.2">
      <c r="A733">
        <v>84327200</v>
      </c>
      <c r="B733">
        <v>2014</v>
      </c>
      <c r="C733">
        <v>50.684246020260503</v>
      </c>
      <c r="D733" t="s">
        <v>199</v>
      </c>
      <c r="E733" t="s">
        <v>200</v>
      </c>
      <c r="F733" t="s">
        <v>201</v>
      </c>
    </row>
    <row r="734" spans="1:6" x14ac:dyDescent="0.2">
      <c r="A734">
        <v>84327200</v>
      </c>
      <c r="B734">
        <v>2013</v>
      </c>
      <c r="C734">
        <v>63.875176189355201</v>
      </c>
      <c r="D734" t="s">
        <v>199</v>
      </c>
      <c r="E734" t="s">
        <v>200</v>
      </c>
      <c r="F734" t="s">
        <v>201</v>
      </c>
    </row>
    <row r="735" spans="1:6" x14ac:dyDescent="0.2">
      <c r="A735">
        <v>84327200</v>
      </c>
      <c r="B735">
        <v>2012</v>
      </c>
      <c r="C735">
        <v>40.052170506797196</v>
      </c>
      <c r="D735" t="s">
        <v>199</v>
      </c>
      <c r="E735" t="s">
        <v>200</v>
      </c>
      <c r="F735" t="s">
        <v>201</v>
      </c>
    </row>
    <row r="736" spans="1:6" x14ac:dyDescent="0.2">
      <c r="A736">
        <v>84327200</v>
      </c>
      <c r="B736">
        <v>2011</v>
      </c>
      <c r="C736">
        <v>57.5</v>
      </c>
      <c r="D736" t="s">
        <v>199</v>
      </c>
      <c r="E736" t="s">
        <v>200</v>
      </c>
      <c r="F736" t="s">
        <v>201</v>
      </c>
    </row>
    <row r="737" spans="1:6" x14ac:dyDescent="0.2">
      <c r="A737">
        <v>36378960</v>
      </c>
      <c r="B737">
        <v>2020</v>
      </c>
      <c r="C737">
        <v>41.068846658832598</v>
      </c>
      <c r="D737" t="s">
        <v>537</v>
      </c>
      <c r="E737" t="s">
        <v>538</v>
      </c>
      <c r="F737" t="s">
        <v>19</v>
      </c>
    </row>
    <row r="738" spans="1:6" x14ac:dyDescent="0.2">
      <c r="A738">
        <v>36378960</v>
      </c>
      <c r="B738">
        <v>2019</v>
      </c>
      <c r="C738">
        <v>39.284209639366402</v>
      </c>
      <c r="D738" t="s">
        <v>537</v>
      </c>
      <c r="E738" t="s">
        <v>538</v>
      </c>
      <c r="F738" t="s">
        <v>19</v>
      </c>
    </row>
    <row r="739" spans="1:6" x14ac:dyDescent="0.2">
      <c r="A739">
        <v>36378960</v>
      </c>
      <c r="B739">
        <v>2018</v>
      </c>
      <c r="C739">
        <v>38.792743303444098</v>
      </c>
      <c r="D739" t="s">
        <v>537</v>
      </c>
      <c r="E739" t="s">
        <v>538</v>
      </c>
      <c r="F739" t="s">
        <v>19</v>
      </c>
    </row>
    <row r="740" spans="1:6" x14ac:dyDescent="0.2">
      <c r="A740">
        <v>36378960</v>
      </c>
      <c r="B740">
        <v>2016</v>
      </c>
      <c r="C740">
        <v>30.183918086087299</v>
      </c>
      <c r="D740" t="s">
        <v>537</v>
      </c>
      <c r="E740" t="s">
        <v>538</v>
      </c>
      <c r="F740" t="s">
        <v>19</v>
      </c>
    </row>
    <row r="741" spans="1:6" x14ac:dyDescent="0.2">
      <c r="A741">
        <v>36378960</v>
      </c>
      <c r="B741">
        <v>2015</v>
      </c>
      <c r="C741">
        <v>32.675938592491299</v>
      </c>
      <c r="D741" t="s">
        <v>537</v>
      </c>
      <c r="E741" t="s">
        <v>538</v>
      </c>
      <c r="F741" t="s">
        <v>19</v>
      </c>
    </row>
    <row r="742" spans="1:6" x14ac:dyDescent="0.2">
      <c r="A742">
        <v>36378960</v>
      </c>
      <c r="B742">
        <v>2013</v>
      </c>
      <c r="C742">
        <v>32.828282828282802</v>
      </c>
      <c r="D742" t="s">
        <v>537</v>
      </c>
      <c r="E742" t="s">
        <v>538</v>
      </c>
      <c r="F742" t="s">
        <v>19</v>
      </c>
    </row>
    <row r="743" spans="1:6" x14ac:dyDescent="0.2">
      <c r="A743">
        <v>31571683</v>
      </c>
      <c r="B743">
        <v>2020</v>
      </c>
      <c r="C743">
        <v>30.836721156344499</v>
      </c>
      <c r="D743" t="s">
        <v>490</v>
      </c>
      <c r="E743" t="s">
        <v>491</v>
      </c>
      <c r="F743" t="s">
        <v>372</v>
      </c>
    </row>
    <row r="744" spans="1:6" x14ac:dyDescent="0.2">
      <c r="A744">
        <v>31571683</v>
      </c>
      <c r="B744">
        <v>2019</v>
      </c>
      <c r="C744">
        <v>34.160968144425397</v>
      </c>
      <c r="D744" t="s">
        <v>490</v>
      </c>
      <c r="E744" t="s">
        <v>491</v>
      </c>
      <c r="F744" t="s">
        <v>372</v>
      </c>
    </row>
    <row r="745" spans="1:6" x14ac:dyDescent="0.2">
      <c r="A745">
        <v>31571683</v>
      </c>
      <c r="B745">
        <v>2018</v>
      </c>
      <c r="C745">
        <v>33.8013776694171</v>
      </c>
      <c r="D745" t="s">
        <v>490</v>
      </c>
      <c r="E745" t="s">
        <v>491</v>
      </c>
      <c r="F745" t="s">
        <v>372</v>
      </c>
    </row>
    <row r="746" spans="1:6" x14ac:dyDescent="0.2">
      <c r="A746">
        <v>31571683</v>
      </c>
      <c r="B746">
        <v>2017</v>
      </c>
      <c r="C746">
        <v>26.051241031582698</v>
      </c>
      <c r="D746" t="s">
        <v>490</v>
      </c>
      <c r="E746" t="s">
        <v>491</v>
      </c>
      <c r="F746" t="s">
        <v>372</v>
      </c>
    </row>
    <row r="747" spans="1:6" x14ac:dyDescent="0.2">
      <c r="A747">
        <v>31571683</v>
      </c>
      <c r="B747">
        <v>2016</v>
      </c>
      <c r="C747">
        <v>25.4671129672425</v>
      </c>
      <c r="D747" t="s">
        <v>490</v>
      </c>
      <c r="E747" t="s">
        <v>491</v>
      </c>
      <c r="F747" t="s">
        <v>372</v>
      </c>
    </row>
    <row r="748" spans="1:6" x14ac:dyDescent="0.2">
      <c r="A748">
        <v>31571683</v>
      </c>
      <c r="B748">
        <v>2015</v>
      </c>
      <c r="C748">
        <v>22.618043630673601</v>
      </c>
      <c r="D748" t="s">
        <v>490</v>
      </c>
      <c r="E748" t="s">
        <v>491</v>
      </c>
      <c r="F748" t="s">
        <v>372</v>
      </c>
    </row>
    <row r="749" spans="1:6" x14ac:dyDescent="0.2">
      <c r="A749">
        <v>27329213</v>
      </c>
      <c r="B749">
        <v>2020</v>
      </c>
      <c r="C749">
        <v>33.122757951132002</v>
      </c>
      <c r="D749" t="s">
        <v>275</v>
      </c>
      <c r="E749" t="s">
        <v>276</v>
      </c>
      <c r="F749" t="s">
        <v>49</v>
      </c>
    </row>
    <row r="750" spans="1:6" x14ac:dyDescent="0.2">
      <c r="A750">
        <v>27329213</v>
      </c>
      <c r="B750">
        <v>2019</v>
      </c>
      <c r="C750">
        <v>35.371286574581902</v>
      </c>
      <c r="D750" t="s">
        <v>275</v>
      </c>
      <c r="E750" t="s">
        <v>276</v>
      </c>
      <c r="F750" t="s">
        <v>49</v>
      </c>
    </row>
    <row r="751" spans="1:6" x14ac:dyDescent="0.2">
      <c r="A751">
        <v>27329213</v>
      </c>
      <c r="B751">
        <v>2018</v>
      </c>
      <c r="C751">
        <v>37.370080579236301</v>
      </c>
      <c r="D751" t="s">
        <v>275</v>
      </c>
      <c r="E751" t="s">
        <v>276</v>
      </c>
      <c r="F751" t="s">
        <v>49</v>
      </c>
    </row>
    <row r="752" spans="1:6" x14ac:dyDescent="0.2">
      <c r="A752">
        <v>34885218</v>
      </c>
      <c r="B752">
        <v>2020</v>
      </c>
      <c r="C752">
        <v>15.274134297800099</v>
      </c>
      <c r="D752" t="s">
        <v>776</v>
      </c>
      <c r="E752"/>
      <c r="F752" t="s">
        <v>137</v>
      </c>
    </row>
    <row r="753" spans="1:6" x14ac:dyDescent="0.2">
      <c r="A753">
        <v>34885218</v>
      </c>
      <c r="B753">
        <v>2019</v>
      </c>
      <c r="C753">
        <v>11.7771297561839</v>
      </c>
      <c r="D753" t="s">
        <v>776</v>
      </c>
      <c r="E753"/>
      <c r="F753" t="s">
        <v>137</v>
      </c>
    </row>
    <row r="754" spans="1:6" x14ac:dyDescent="0.2">
      <c r="A754">
        <v>34885218</v>
      </c>
      <c r="B754">
        <v>2018</v>
      </c>
      <c r="C754">
        <v>13.344981845669601</v>
      </c>
      <c r="D754" t="s">
        <v>776</v>
      </c>
      <c r="E754"/>
      <c r="F754" t="s">
        <v>137</v>
      </c>
    </row>
    <row r="755" spans="1:6" x14ac:dyDescent="0.2">
      <c r="A755">
        <v>34885218</v>
      </c>
      <c r="B755">
        <v>2017</v>
      </c>
      <c r="C755">
        <v>21.743519654588699</v>
      </c>
      <c r="D755" t="s">
        <v>776</v>
      </c>
      <c r="E755"/>
      <c r="F755" t="s">
        <v>137</v>
      </c>
    </row>
    <row r="756" spans="1:6" x14ac:dyDescent="0.2">
      <c r="A756">
        <v>34885218</v>
      </c>
      <c r="B756">
        <v>2016</v>
      </c>
      <c r="C756">
        <v>27.949207155978701</v>
      </c>
      <c r="D756" t="s">
        <v>776</v>
      </c>
      <c r="E756"/>
      <c r="F756" t="s">
        <v>137</v>
      </c>
    </row>
    <row r="757" spans="1:6" x14ac:dyDescent="0.2">
      <c r="A757">
        <v>34885218</v>
      </c>
      <c r="B757">
        <v>2015</v>
      </c>
      <c r="C757">
        <v>34.935108036821603</v>
      </c>
      <c r="D757" t="s">
        <v>776</v>
      </c>
      <c r="E757"/>
      <c r="F757" t="s">
        <v>137</v>
      </c>
    </row>
    <row r="758" spans="1:6" x14ac:dyDescent="0.2">
      <c r="A758">
        <v>34885218</v>
      </c>
      <c r="B758">
        <v>2014</v>
      </c>
      <c r="C758">
        <v>27.6017928772728</v>
      </c>
      <c r="D758" t="s">
        <v>776</v>
      </c>
      <c r="E758"/>
      <c r="F758" t="s">
        <v>137</v>
      </c>
    </row>
    <row r="759" spans="1:6" x14ac:dyDescent="0.2">
      <c r="A759">
        <v>34885218</v>
      </c>
      <c r="B759">
        <v>2013</v>
      </c>
      <c r="C759">
        <v>21.592920353982301</v>
      </c>
      <c r="D759" t="s">
        <v>776</v>
      </c>
      <c r="E759"/>
      <c r="F759" t="s">
        <v>137</v>
      </c>
    </row>
    <row r="760" spans="1:6" x14ac:dyDescent="0.2">
      <c r="A760">
        <v>34885218</v>
      </c>
      <c r="B760">
        <v>2012</v>
      </c>
      <c r="C760">
        <v>17.336415362731199</v>
      </c>
      <c r="D760" t="s">
        <v>776</v>
      </c>
      <c r="E760"/>
      <c r="F760" t="s">
        <v>137</v>
      </c>
    </row>
    <row r="761" spans="1:6" x14ac:dyDescent="0.2">
      <c r="A761">
        <v>34885218</v>
      </c>
      <c r="B761">
        <v>2011</v>
      </c>
      <c r="C761">
        <v>18.527580071174398</v>
      </c>
      <c r="D761" t="s">
        <v>776</v>
      </c>
      <c r="E761"/>
      <c r="F761" t="s">
        <v>137</v>
      </c>
    </row>
    <row r="762" spans="1:6" x14ac:dyDescent="0.2">
      <c r="A762">
        <v>34885218</v>
      </c>
      <c r="B762">
        <v>2010</v>
      </c>
      <c r="C762">
        <v>23.008340523439699</v>
      </c>
      <c r="D762" t="s">
        <v>776</v>
      </c>
      <c r="E762"/>
      <c r="F762" t="s">
        <v>137</v>
      </c>
    </row>
    <row r="763" spans="1:6" x14ac:dyDescent="0.2">
      <c r="A763">
        <v>53451227</v>
      </c>
      <c r="B763">
        <v>2018</v>
      </c>
      <c r="C763">
        <v>52.3333333333333</v>
      </c>
      <c r="D763" t="s">
        <v>1087</v>
      </c>
      <c r="E763" t="s">
        <v>581</v>
      </c>
      <c r="F763" t="s">
        <v>1126</v>
      </c>
    </row>
    <row r="764" spans="1:6" x14ac:dyDescent="0.2">
      <c r="A764">
        <v>57203350</v>
      </c>
      <c r="B764">
        <v>2019</v>
      </c>
      <c r="C764">
        <v>61.661666666666697</v>
      </c>
      <c r="D764" t="s">
        <v>799</v>
      </c>
      <c r="E764" t="s">
        <v>721</v>
      </c>
      <c r="F764" t="s">
        <v>1126</v>
      </c>
    </row>
    <row r="765" spans="1:6" x14ac:dyDescent="0.2">
      <c r="A765">
        <v>57203350</v>
      </c>
      <c r="B765">
        <v>2018</v>
      </c>
      <c r="C765">
        <v>74.992857142857105</v>
      </c>
      <c r="D765" t="s">
        <v>799</v>
      </c>
      <c r="E765" t="s">
        <v>721</v>
      </c>
      <c r="F765" t="s">
        <v>1126</v>
      </c>
    </row>
    <row r="766" spans="1:6" x14ac:dyDescent="0.2">
      <c r="A766">
        <v>57203350</v>
      </c>
      <c r="B766">
        <v>2017</v>
      </c>
      <c r="C766">
        <v>53.75</v>
      </c>
      <c r="D766" t="s">
        <v>799</v>
      </c>
      <c r="E766" t="s">
        <v>721</v>
      </c>
      <c r="F766" t="s">
        <v>1126</v>
      </c>
    </row>
    <row r="767" spans="1:6" x14ac:dyDescent="0.2">
      <c r="A767">
        <v>57203350</v>
      </c>
      <c r="B767">
        <v>2016</v>
      </c>
      <c r="C767">
        <v>58.998333333333299</v>
      </c>
      <c r="D767" t="s">
        <v>799</v>
      </c>
      <c r="E767" t="s">
        <v>721</v>
      </c>
      <c r="F767" t="s">
        <v>1126</v>
      </c>
    </row>
    <row r="768" spans="1:6" x14ac:dyDescent="0.2">
      <c r="A768">
        <v>33733753</v>
      </c>
      <c r="B768">
        <v>2020</v>
      </c>
      <c r="C768">
        <v>61.768461538461501</v>
      </c>
      <c r="D768" t="s">
        <v>580</v>
      </c>
      <c r="E768" t="s">
        <v>581</v>
      </c>
      <c r="F768" t="s">
        <v>1126</v>
      </c>
    </row>
    <row r="769" spans="1:6" x14ac:dyDescent="0.2">
      <c r="A769">
        <v>33733753</v>
      </c>
      <c r="B769">
        <v>2019</v>
      </c>
      <c r="C769">
        <v>56.408181818181802</v>
      </c>
      <c r="D769" t="s">
        <v>580</v>
      </c>
      <c r="E769" t="s">
        <v>581</v>
      </c>
      <c r="F769" t="s">
        <v>1126</v>
      </c>
    </row>
    <row r="770" spans="1:6" x14ac:dyDescent="0.2">
      <c r="A770">
        <v>33733753</v>
      </c>
      <c r="B770">
        <v>2018</v>
      </c>
      <c r="C770">
        <v>58.3</v>
      </c>
      <c r="D770" t="s">
        <v>580</v>
      </c>
      <c r="E770" t="s">
        <v>581</v>
      </c>
      <c r="F770" t="s">
        <v>1126</v>
      </c>
    </row>
    <row r="771" spans="1:6" x14ac:dyDescent="0.2">
      <c r="A771">
        <v>33733753</v>
      </c>
      <c r="B771">
        <v>2017</v>
      </c>
      <c r="C771">
        <v>48.5282352941177</v>
      </c>
      <c r="D771" t="s">
        <v>580</v>
      </c>
      <c r="E771" t="s">
        <v>581</v>
      </c>
      <c r="F771" t="s">
        <v>1126</v>
      </c>
    </row>
    <row r="772" spans="1:6" x14ac:dyDescent="0.2">
      <c r="A772">
        <v>33733753</v>
      </c>
      <c r="B772">
        <v>2016</v>
      </c>
      <c r="C772">
        <v>55.352941176470601</v>
      </c>
      <c r="D772" t="s">
        <v>580</v>
      </c>
      <c r="E772" t="s">
        <v>581</v>
      </c>
      <c r="F772" t="s">
        <v>1126</v>
      </c>
    </row>
    <row r="773" spans="1:6" x14ac:dyDescent="0.2">
      <c r="A773">
        <v>33733753</v>
      </c>
      <c r="B773">
        <v>2015</v>
      </c>
      <c r="C773">
        <v>49.056249999999999</v>
      </c>
      <c r="D773" t="s">
        <v>580</v>
      </c>
      <c r="E773" t="s">
        <v>581</v>
      </c>
      <c r="F773" t="s">
        <v>1126</v>
      </c>
    </row>
    <row r="774" spans="1:6" x14ac:dyDescent="0.2">
      <c r="A774">
        <v>33733753</v>
      </c>
      <c r="B774">
        <v>2013</v>
      </c>
      <c r="C774">
        <v>40.5</v>
      </c>
      <c r="D774" t="s">
        <v>580</v>
      </c>
      <c r="E774" t="s">
        <v>581</v>
      </c>
      <c r="F774" t="s">
        <v>1126</v>
      </c>
    </row>
    <row r="775" spans="1:6" x14ac:dyDescent="0.2">
      <c r="A775">
        <v>33733753</v>
      </c>
      <c r="B775">
        <v>2012</v>
      </c>
      <c r="C775">
        <v>49.5</v>
      </c>
      <c r="D775" t="s">
        <v>580</v>
      </c>
      <c r="E775" t="s">
        <v>581</v>
      </c>
      <c r="F775" t="s">
        <v>1126</v>
      </c>
    </row>
    <row r="776" spans="1:6" x14ac:dyDescent="0.2">
      <c r="A776">
        <v>33733753</v>
      </c>
      <c r="B776">
        <v>2011</v>
      </c>
      <c r="C776">
        <v>77.5</v>
      </c>
      <c r="D776" t="s">
        <v>580</v>
      </c>
      <c r="E776" t="s">
        <v>581</v>
      </c>
      <c r="F776" t="s">
        <v>1126</v>
      </c>
    </row>
    <row r="777" spans="1:6" x14ac:dyDescent="0.2">
      <c r="A777">
        <v>33733753</v>
      </c>
      <c r="B777">
        <v>2010</v>
      </c>
      <c r="C777">
        <v>31</v>
      </c>
      <c r="D777" t="s">
        <v>580</v>
      </c>
      <c r="E777" t="s">
        <v>581</v>
      </c>
      <c r="F777" t="s">
        <v>1126</v>
      </c>
    </row>
    <row r="778" spans="1:6" x14ac:dyDescent="0.2">
      <c r="A778">
        <v>11000954</v>
      </c>
      <c r="B778">
        <v>2020</v>
      </c>
      <c r="C778">
        <v>65.998750000000001</v>
      </c>
      <c r="D778" t="s">
        <v>1009</v>
      </c>
      <c r="E778" t="s">
        <v>579</v>
      </c>
      <c r="F778" t="s">
        <v>1126</v>
      </c>
    </row>
    <row r="779" spans="1:6" x14ac:dyDescent="0.2">
      <c r="A779">
        <v>11000954</v>
      </c>
      <c r="B779">
        <v>2019</v>
      </c>
      <c r="C779">
        <v>65.998571428571395</v>
      </c>
      <c r="D779" t="s">
        <v>1009</v>
      </c>
      <c r="E779" t="s">
        <v>579</v>
      </c>
      <c r="F779" t="s">
        <v>1126</v>
      </c>
    </row>
    <row r="780" spans="1:6" x14ac:dyDescent="0.2">
      <c r="A780">
        <v>11000954</v>
      </c>
      <c r="B780">
        <v>2018</v>
      </c>
      <c r="C780">
        <v>56.75</v>
      </c>
      <c r="D780" t="s">
        <v>1009</v>
      </c>
      <c r="E780" t="s">
        <v>579</v>
      </c>
      <c r="F780" t="s">
        <v>1126</v>
      </c>
    </row>
    <row r="781" spans="1:6" x14ac:dyDescent="0.2">
      <c r="A781">
        <v>11000954</v>
      </c>
      <c r="B781">
        <v>2017</v>
      </c>
      <c r="C781">
        <v>72.5</v>
      </c>
      <c r="D781" t="s">
        <v>1009</v>
      </c>
      <c r="E781" t="s">
        <v>579</v>
      </c>
      <c r="F781" t="s">
        <v>1126</v>
      </c>
    </row>
    <row r="782" spans="1:6" x14ac:dyDescent="0.2">
      <c r="A782">
        <v>11000954</v>
      </c>
      <c r="B782">
        <v>2016</v>
      </c>
      <c r="C782">
        <v>54.158333333333303</v>
      </c>
      <c r="D782" t="s">
        <v>1009</v>
      </c>
      <c r="E782" t="s">
        <v>579</v>
      </c>
      <c r="F782" t="s">
        <v>1126</v>
      </c>
    </row>
    <row r="783" spans="1:6" x14ac:dyDescent="0.2">
      <c r="A783">
        <v>11000954</v>
      </c>
      <c r="B783">
        <v>2015</v>
      </c>
      <c r="C783">
        <v>57.398000000000003</v>
      </c>
      <c r="D783" t="s">
        <v>1009</v>
      </c>
      <c r="E783" t="s">
        <v>579</v>
      </c>
      <c r="F783" t="s">
        <v>1126</v>
      </c>
    </row>
    <row r="784" spans="1:6" x14ac:dyDescent="0.2">
      <c r="A784">
        <v>31571112</v>
      </c>
      <c r="B784">
        <v>2019</v>
      </c>
      <c r="C784">
        <v>6.9891539385518797</v>
      </c>
      <c r="D784" t="s">
        <v>108</v>
      </c>
      <c r="E784" t="s">
        <v>109</v>
      </c>
      <c r="F784" t="s">
        <v>94</v>
      </c>
    </row>
    <row r="785" spans="1:6" x14ac:dyDescent="0.2">
      <c r="A785">
        <v>31571112</v>
      </c>
      <c r="B785">
        <v>2018</v>
      </c>
      <c r="C785">
        <v>7.0420688130723699</v>
      </c>
      <c r="D785" t="s">
        <v>108</v>
      </c>
      <c r="E785" t="s">
        <v>109</v>
      </c>
      <c r="F785" t="s">
        <v>94</v>
      </c>
    </row>
    <row r="786" spans="1:6" x14ac:dyDescent="0.2">
      <c r="A786">
        <v>31571112</v>
      </c>
      <c r="B786">
        <v>2017</v>
      </c>
      <c r="C786">
        <v>8.0365508175948399</v>
      </c>
      <c r="D786" t="s">
        <v>108</v>
      </c>
      <c r="E786" t="s">
        <v>109</v>
      </c>
      <c r="F786" t="s">
        <v>94</v>
      </c>
    </row>
    <row r="787" spans="1:6" x14ac:dyDescent="0.2">
      <c r="A787">
        <v>31571112</v>
      </c>
      <c r="B787">
        <v>2016</v>
      </c>
      <c r="C787">
        <v>7.0702118143239403</v>
      </c>
      <c r="D787" t="s">
        <v>108</v>
      </c>
      <c r="E787" t="s">
        <v>109</v>
      </c>
      <c r="F787" t="s">
        <v>94</v>
      </c>
    </row>
    <row r="788" spans="1:6" x14ac:dyDescent="0.2">
      <c r="A788">
        <v>31571112</v>
      </c>
      <c r="B788">
        <v>2015</v>
      </c>
      <c r="C788">
        <v>8.8569539563140101</v>
      </c>
      <c r="D788" t="s">
        <v>108</v>
      </c>
      <c r="E788" t="s">
        <v>109</v>
      </c>
      <c r="F788" t="s">
        <v>94</v>
      </c>
    </row>
    <row r="789" spans="1:6" x14ac:dyDescent="0.2">
      <c r="A789">
        <v>53022801</v>
      </c>
      <c r="B789">
        <v>2019</v>
      </c>
      <c r="C789">
        <v>13.873803420660099</v>
      </c>
      <c r="D789" t="s">
        <v>656</v>
      </c>
      <c r="E789" t="s">
        <v>657</v>
      </c>
      <c r="F789" t="s">
        <v>119</v>
      </c>
    </row>
    <row r="790" spans="1:6" x14ac:dyDescent="0.2">
      <c r="A790">
        <v>53022801</v>
      </c>
      <c r="B790">
        <v>2018</v>
      </c>
      <c r="C790">
        <v>19.811890944545802</v>
      </c>
      <c r="D790" t="s">
        <v>656</v>
      </c>
      <c r="E790" t="s">
        <v>657</v>
      </c>
      <c r="F790" t="s">
        <v>119</v>
      </c>
    </row>
    <row r="791" spans="1:6" x14ac:dyDescent="0.2">
      <c r="A791">
        <v>53022801</v>
      </c>
      <c r="B791">
        <v>2017</v>
      </c>
      <c r="C791">
        <v>11.8890032847968</v>
      </c>
      <c r="D791" t="s">
        <v>656</v>
      </c>
      <c r="E791" t="s">
        <v>657</v>
      </c>
      <c r="F791" t="s">
        <v>119</v>
      </c>
    </row>
    <row r="792" spans="1:6" x14ac:dyDescent="0.2">
      <c r="A792">
        <v>84271052</v>
      </c>
      <c r="B792">
        <v>2020</v>
      </c>
      <c r="C792">
        <v>10.970824854141901</v>
      </c>
      <c r="D792" t="s">
        <v>160</v>
      </c>
      <c r="E792" t="s">
        <v>161</v>
      </c>
      <c r="F792" t="s">
        <v>137</v>
      </c>
    </row>
    <row r="793" spans="1:6" x14ac:dyDescent="0.2">
      <c r="A793">
        <v>84271052</v>
      </c>
      <c r="B793">
        <v>2019</v>
      </c>
      <c r="C793">
        <v>13.0766561798313</v>
      </c>
      <c r="D793" t="s">
        <v>160</v>
      </c>
      <c r="E793" t="s">
        <v>161</v>
      </c>
      <c r="F793" t="s">
        <v>137</v>
      </c>
    </row>
    <row r="794" spans="1:6" x14ac:dyDescent="0.2">
      <c r="A794">
        <v>84271052</v>
      </c>
      <c r="B794">
        <v>2018</v>
      </c>
      <c r="C794">
        <v>14.5652300789548</v>
      </c>
      <c r="D794" t="s">
        <v>160</v>
      </c>
      <c r="E794" t="s">
        <v>161</v>
      </c>
      <c r="F794" t="s">
        <v>137</v>
      </c>
    </row>
    <row r="795" spans="1:6" x14ac:dyDescent="0.2">
      <c r="A795">
        <v>84271052</v>
      </c>
      <c r="B795">
        <v>2017</v>
      </c>
      <c r="C795">
        <v>16.096743948802999</v>
      </c>
      <c r="D795" t="s">
        <v>160</v>
      </c>
      <c r="E795" t="s">
        <v>161</v>
      </c>
      <c r="F795" t="s">
        <v>137</v>
      </c>
    </row>
    <row r="796" spans="1:6" x14ac:dyDescent="0.2">
      <c r="A796">
        <v>84271052</v>
      </c>
      <c r="B796">
        <v>2016</v>
      </c>
      <c r="C796">
        <v>18.564817366636198</v>
      </c>
      <c r="D796" t="s">
        <v>160</v>
      </c>
      <c r="E796" t="s">
        <v>161</v>
      </c>
      <c r="F796" t="s">
        <v>137</v>
      </c>
    </row>
    <row r="797" spans="1:6" x14ac:dyDescent="0.2">
      <c r="A797">
        <v>84271052</v>
      </c>
      <c r="B797">
        <v>2015</v>
      </c>
      <c r="C797">
        <v>20.0994697803376</v>
      </c>
      <c r="D797" t="s">
        <v>160</v>
      </c>
      <c r="E797" t="s">
        <v>161</v>
      </c>
      <c r="F797" t="s">
        <v>137</v>
      </c>
    </row>
    <row r="798" spans="1:6" x14ac:dyDescent="0.2">
      <c r="A798">
        <v>84271052</v>
      </c>
      <c r="B798">
        <v>2014</v>
      </c>
      <c r="C798">
        <v>22.249798979459701</v>
      </c>
      <c r="D798" t="s">
        <v>160</v>
      </c>
      <c r="E798" t="s">
        <v>161</v>
      </c>
      <c r="F798" t="s">
        <v>137</v>
      </c>
    </row>
    <row r="799" spans="1:6" x14ac:dyDescent="0.2">
      <c r="A799">
        <v>84271052</v>
      </c>
      <c r="B799">
        <v>2013</v>
      </c>
      <c r="C799">
        <v>20.319945541184499</v>
      </c>
      <c r="D799" t="s">
        <v>160</v>
      </c>
      <c r="E799" t="s">
        <v>161</v>
      </c>
      <c r="F799" t="s">
        <v>137</v>
      </c>
    </row>
    <row r="800" spans="1:6" x14ac:dyDescent="0.2">
      <c r="A800">
        <v>84271052</v>
      </c>
      <c r="B800">
        <v>2012</v>
      </c>
      <c r="C800">
        <v>16.002844950213401</v>
      </c>
      <c r="D800" t="s">
        <v>160</v>
      </c>
      <c r="E800" t="s">
        <v>161</v>
      </c>
      <c r="F800" t="s">
        <v>137</v>
      </c>
    </row>
    <row r="801" spans="1:6" x14ac:dyDescent="0.2">
      <c r="A801">
        <v>84271052</v>
      </c>
      <c r="B801">
        <v>2011</v>
      </c>
      <c r="C801">
        <v>25.763641755634598</v>
      </c>
      <c r="D801" t="s">
        <v>160</v>
      </c>
      <c r="E801" t="s">
        <v>161</v>
      </c>
      <c r="F801" t="s">
        <v>137</v>
      </c>
    </row>
    <row r="802" spans="1:6" x14ac:dyDescent="0.2">
      <c r="A802">
        <v>84271052</v>
      </c>
      <c r="B802">
        <v>2010</v>
      </c>
      <c r="C802">
        <v>23.111056329347999</v>
      </c>
      <c r="D802" t="s">
        <v>160</v>
      </c>
      <c r="E802" t="s">
        <v>161</v>
      </c>
      <c r="F802" t="s">
        <v>137</v>
      </c>
    </row>
    <row r="803" spans="1:6" x14ac:dyDescent="0.2">
      <c r="A803">
        <v>42626973</v>
      </c>
      <c r="B803">
        <v>2020</v>
      </c>
      <c r="C803">
        <v>20.0813346026627</v>
      </c>
      <c r="D803" t="s">
        <v>846</v>
      </c>
      <c r="E803" t="s">
        <v>846</v>
      </c>
      <c r="F803" t="s">
        <v>261</v>
      </c>
    </row>
    <row r="804" spans="1:6" x14ac:dyDescent="0.2">
      <c r="A804">
        <v>42626973</v>
      </c>
      <c r="B804">
        <v>2019</v>
      </c>
      <c r="C804">
        <v>22.124379132822298</v>
      </c>
      <c r="D804" t="s">
        <v>846</v>
      </c>
      <c r="E804" t="s">
        <v>846</v>
      </c>
      <c r="F804" t="s">
        <v>261</v>
      </c>
    </row>
    <row r="805" spans="1:6" x14ac:dyDescent="0.2">
      <c r="A805">
        <v>42626973</v>
      </c>
      <c r="B805">
        <v>2018</v>
      </c>
      <c r="C805">
        <v>24.683406113537099</v>
      </c>
      <c r="D805" t="s">
        <v>846</v>
      </c>
      <c r="E805" t="s">
        <v>846</v>
      </c>
      <c r="F805" t="s">
        <v>261</v>
      </c>
    </row>
    <row r="806" spans="1:6" x14ac:dyDescent="0.2">
      <c r="A806">
        <v>42626973</v>
      </c>
      <c r="B806">
        <v>2017</v>
      </c>
      <c r="C806">
        <v>18.466339898055999</v>
      </c>
      <c r="D806" t="s">
        <v>846</v>
      </c>
      <c r="E806" t="s">
        <v>846</v>
      </c>
      <c r="F806" t="s">
        <v>261</v>
      </c>
    </row>
    <row r="807" spans="1:6" x14ac:dyDescent="0.2">
      <c r="A807">
        <v>42626973</v>
      </c>
      <c r="B807">
        <v>2016</v>
      </c>
      <c r="C807">
        <v>17.064911998790802</v>
      </c>
      <c r="D807" t="s">
        <v>846</v>
      </c>
      <c r="E807" t="s">
        <v>846</v>
      </c>
      <c r="F807" t="s">
        <v>261</v>
      </c>
    </row>
    <row r="808" spans="1:6" x14ac:dyDescent="0.2">
      <c r="A808">
        <v>42626973</v>
      </c>
      <c r="B808">
        <v>2015</v>
      </c>
      <c r="C808">
        <v>17.913731306389799</v>
      </c>
      <c r="D808" t="s">
        <v>846</v>
      </c>
      <c r="E808" t="s">
        <v>846</v>
      </c>
      <c r="F808" t="s">
        <v>261</v>
      </c>
    </row>
    <row r="809" spans="1:6" x14ac:dyDescent="0.2">
      <c r="A809">
        <v>42626973</v>
      </c>
      <c r="B809">
        <v>2014</v>
      </c>
      <c r="C809">
        <v>16.519762399196502</v>
      </c>
      <c r="D809" t="s">
        <v>846</v>
      </c>
      <c r="E809" t="s">
        <v>846</v>
      </c>
      <c r="F809" t="s">
        <v>261</v>
      </c>
    </row>
    <row r="810" spans="1:6" x14ac:dyDescent="0.2">
      <c r="A810">
        <v>42626973</v>
      </c>
      <c r="B810">
        <v>2012</v>
      </c>
      <c r="C810">
        <v>18.501625249030099</v>
      </c>
      <c r="D810" t="s">
        <v>846</v>
      </c>
      <c r="E810" t="s">
        <v>846</v>
      </c>
      <c r="F810" t="s">
        <v>261</v>
      </c>
    </row>
    <row r="811" spans="1:6" x14ac:dyDescent="0.2">
      <c r="A811">
        <v>42626973</v>
      </c>
      <c r="B811">
        <v>2011</v>
      </c>
      <c r="C811">
        <v>22.022980886089901</v>
      </c>
      <c r="D811" t="s">
        <v>846</v>
      </c>
      <c r="E811" t="s">
        <v>846</v>
      </c>
      <c r="F811" t="s">
        <v>261</v>
      </c>
    </row>
    <row r="812" spans="1:6" x14ac:dyDescent="0.2">
      <c r="A812">
        <v>86503905</v>
      </c>
      <c r="B812">
        <v>2020</v>
      </c>
      <c r="C812">
        <v>65.165581395348795</v>
      </c>
      <c r="D812" t="s">
        <v>149</v>
      </c>
      <c r="E812" t="s">
        <v>150</v>
      </c>
      <c r="F812" t="s">
        <v>1126</v>
      </c>
    </row>
    <row r="813" spans="1:6" x14ac:dyDescent="0.2">
      <c r="A813">
        <v>86503905</v>
      </c>
      <c r="B813">
        <v>2019</v>
      </c>
      <c r="C813">
        <v>63.0142028985507</v>
      </c>
      <c r="D813" t="s">
        <v>149</v>
      </c>
      <c r="E813" t="s">
        <v>150</v>
      </c>
      <c r="F813" t="s">
        <v>1126</v>
      </c>
    </row>
    <row r="814" spans="1:6" x14ac:dyDescent="0.2">
      <c r="A814">
        <v>86503905</v>
      </c>
      <c r="B814">
        <v>2018</v>
      </c>
      <c r="C814">
        <v>61.758533333333297</v>
      </c>
      <c r="D814" t="s">
        <v>149</v>
      </c>
      <c r="E814" t="s">
        <v>150</v>
      </c>
      <c r="F814" t="s">
        <v>1126</v>
      </c>
    </row>
    <row r="815" spans="1:6" x14ac:dyDescent="0.2">
      <c r="A815">
        <v>86503905</v>
      </c>
      <c r="B815">
        <v>2017</v>
      </c>
      <c r="C815">
        <v>60.0625</v>
      </c>
      <c r="D815" t="s">
        <v>149</v>
      </c>
      <c r="E815" t="s">
        <v>150</v>
      </c>
      <c r="F815" t="s">
        <v>1126</v>
      </c>
    </row>
    <row r="816" spans="1:6" x14ac:dyDescent="0.2">
      <c r="A816">
        <v>86503905</v>
      </c>
      <c r="B816">
        <v>2016</v>
      </c>
      <c r="C816">
        <v>52.415967741935503</v>
      </c>
      <c r="D816" t="s">
        <v>149</v>
      </c>
      <c r="E816" t="s">
        <v>150</v>
      </c>
      <c r="F816" t="s">
        <v>1126</v>
      </c>
    </row>
    <row r="817" spans="1:6" x14ac:dyDescent="0.2">
      <c r="A817">
        <v>86503905</v>
      </c>
      <c r="B817">
        <v>2015</v>
      </c>
      <c r="C817">
        <v>43.333095238095197</v>
      </c>
      <c r="D817" t="s">
        <v>149</v>
      </c>
      <c r="E817" t="s">
        <v>150</v>
      </c>
      <c r="F817" t="s">
        <v>1126</v>
      </c>
    </row>
    <row r="818" spans="1:6" x14ac:dyDescent="0.2">
      <c r="A818">
        <v>86503905</v>
      </c>
      <c r="B818">
        <v>2014</v>
      </c>
      <c r="C818">
        <v>38.5</v>
      </c>
      <c r="D818" t="s">
        <v>149</v>
      </c>
      <c r="E818" t="s">
        <v>150</v>
      </c>
      <c r="F818" t="s">
        <v>1126</v>
      </c>
    </row>
    <row r="819" spans="1:6" x14ac:dyDescent="0.2">
      <c r="A819">
        <v>86503905</v>
      </c>
      <c r="B819">
        <v>2013</v>
      </c>
      <c r="C819">
        <v>45.4433333333333</v>
      </c>
      <c r="D819" t="s">
        <v>149</v>
      </c>
      <c r="E819" t="s">
        <v>150</v>
      </c>
      <c r="F819" t="s">
        <v>1126</v>
      </c>
    </row>
    <row r="820" spans="1:6" x14ac:dyDescent="0.2">
      <c r="A820">
        <v>86503905</v>
      </c>
      <c r="B820">
        <v>2012</v>
      </c>
      <c r="C820">
        <v>39.4</v>
      </c>
      <c r="D820" t="s">
        <v>149</v>
      </c>
      <c r="E820" t="s">
        <v>150</v>
      </c>
      <c r="F820" t="s">
        <v>1126</v>
      </c>
    </row>
    <row r="821" spans="1:6" x14ac:dyDescent="0.2">
      <c r="A821">
        <v>86503905</v>
      </c>
      <c r="B821">
        <v>2011</v>
      </c>
      <c r="C821">
        <v>40.698</v>
      </c>
      <c r="D821" t="s">
        <v>149</v>
      </c>
      <c r="E821" t="s">
        <v>150</v>
      </c>
      <c r="F821" t="s">
        <v>1126</v>
      </c>
    </row>
    <row r="822" spans="1:6" x14ac:dyDescent="0.2">
      <c r="A822">
        <v>86503905</v>
      </c>
      <c r="B822">
        <v>2010</v>
      </c>
      <c r="C822">
        <v>28</v>
      </c>
      <c r="D822" t="s">
        <v>149</v>
      </c>
      <c r="E822" t="s">
        <v>150</v>
      </c>
      <c r="F822" t="s">
        <v>1126</v>
      </c>
    </row>
    <row r="823" spans="1:6" x14ac:dyDescent="0.2">
      <c r="A823">
        <v>58083371</v>
      </c>
      <c r="B823">
        <v>2019</v>
      </c>
      <c r="C823">
        <v>25.795532173044201</v>
      </c>
      <c r="D823" t="s">
        <v>856</v>
      </c>
      <c r="E823" t="s">
        <v>857</v>
      </c>
      <c r="F823" t="s">
        <v>183</v>
      </c>
    </row>
    <row r="824" spans="1:6" x14ac:dyDescent="0.2">
      <c r="A824">
        <v>58083371</v>
      </c>
      <c r="B824">
        <v>2017</v>
      </c>
      <c r="C824">
        <v>21.723146388595701</v>
      </c>
      <c r="D824" t="s">
        <v>856</v>
      </c>
      <c r="E824" t="s">
        <v>857</v>
      </c>
      <c r="F824" t="s">
        <v>183</v>
      </c>
    </row>
    <row r="825" spans="1:6" x14ac:dyDescent="0.2">
      <c r="A825">
        <v>37979661</v>
      </c>
      <c r="B825">
        <v>2019</v>
      </c>
      <c r="C825">
        <v>63.932144712811599</v>
      </c>
      <c r="D825" t="s">
        <v>1096</v>
      </c>
      <c r="E825" t="s">
        <v>298</v>
      </c>
      <c r="F825" t="s">
        <v>33</v>
      </c>
    </row>
    <row r="826" spans="1:6" x14ac:dyDescent="0.2">
      <c r="A826">
        <v>71596133</v>
      </c>
      <c r="B826">
        <v>2020</v>
      </c>
      <c r="C826">
        <v>48.655274262919399</v>
      </c>
      <c r="D826" t="s">
        <v>876</v>
      </c>
      <c r="E826" t="s">
        <v>877</v>
      </c>
      <c r="F826" t="s">
        <v>622</v>
      </c>
    </row>
    <row r="827" spans="1:6" x14ac:dyDescent="0.2">
      <c r="A827">
        <v>71596133</v>
      </c>
      <c r="B827">
        <v>2019</v>
      </c>
      <c r="C827">
        <v>54.299904909816398</v>
      </c>
      <c r="D827" t="s">
        <v>876</v>
      </c>
      <c r="E827" t="s">
        <v>877</v>
      </c>
      <c r="F827" t="s">
        <v>622</v>
      </c>
    </row>
    <row r="828" spans="1:6" x14ac:dyDescent="0.2">
      <c r="A828">
        <v>71596133</v>
      </c>
      <c r="B828">
        <v>2018</v>
      </c>
      <c r="C828">
        <v>59.653629276746202</v>
      </c>
      <c r="D828" t="s">
        <v>876</v>
      </c>
      <c r="E828" t="s">
        <v>877</v>
      </c>
      <c r="F828" t="s">
        <v>622</v>
      </c>
    </row>
    <row r="829" spans="1:6" x14ac:dyDescent="0.2">
      <c r="A829">
        <v>71596133</v>
      </c>
      <c r="B829">
        <v>2017</v>
      </c>
      <c r="C829">
        <v>61.015389380322397</v>
      </c>
      <c r="D829" t="s">
        <v>876</v>
      </c>
      <c r="E829" t="s">
        <v>877</v>
      </c>
      <c r="F829" t="s">
        <v>622</v>
      </c>
    </row>
    <row r="830" spans="1:6" x14ac:dyDescent="0.2">
      <c r="A830">
        <v>71596133</v>
      </c>
      <c r="B830">
        <v>2016</v>
      </c>
      <c r="C830">
        <v>53.901512511326402</v>
      </c>
      <c r="D830" t="s">
        <v>876</v>
      </c>
      <c r="E830" t="s">
        <v>877</v>
      </c>
      <c r="F830" t="s">
        <v>622</v>
      </c>
    </row>
    <row r="831" spans="1:6" x14ac:dyDescent="0.2">
      <c r="A831">
        <v>71596133</v>
      </c>
      <c r="B831">
        <v>2015</v>
      </c>
      <c r="C831">
        <v>57.812510070574596</v>
      </c>
      <c r="D831" t="s">
        <v>876</v>
      </c>
      <c r="E831" t="s">
        <v>877</v>
      </c>
      <c r="F831" t="s">
        <v>622</v>
      </c>
    </row>
    <row r="832" spans="1:6" x14ac:dyDescent="0.2">
      <c r="A832">
        <v>71596133</v>
      </c>
      <c r="B832">
        <v>2014</v>
      </c>
      <c r="C832">
        <v>60.1389124174149</v>
      </c>
      <c r="D832" t="s">
        <v>876</v>
      </c>
      <c r="E832" t="s">
        <v>877</v>
      </c>
      <c r="F832" t="s">
        <v>622</v>
      </c>
    </row>
    <row r="833" spans="1:6" x14ac:dyDescent="0.2">
      <c r="A833">
        <v>71596133</v>
      </c>
      <c r="B833">
        <v>2013</v>
      </c>
      <c r="C833">
        <v>67.2</v>
      </c>
      <c r="D833" t="s">
        <v>876</v>
      </c>
      <c r="E833" t="s">
        <v>877</v>
      </c>
      <c r="F833" t="s">
        <v>622</v>
      </c>
    </row>
    <row r="834" spans="1:6" x14ac:dyDescent="0.2">
      <c r="A834">
        <v>71596133</v>
      </c>
      <c r="B834">
        <v>2012</v>
      </c>
      <c r="C834">
        <v>48.872180451127797</v>
      </c>
      <c r="D834" t="s">
        <v>876</v>
      </c>
      <c r="E834" t="s">
        <v>877</v>
      </c>
      <c r="F834" t="s">
        <v>622</v>
      </c>
    </row>
    <row r="835" spans="1:6" x14ac:dyDescent="0.2">
      <c r="A835">
        <v>71596133</v>
      </c>
      <c r="B835">
        <v>2011</v>
      </c>
      <c r="C835">
        <v>34.797520661157002</v>
      </c>
      <c r="D835" t="s">
        <v>876</v>
      </c>
      <c r="E835" t="s">
        <v>877</v>
      </c>
      <c r="F835" t="s">
        <v>622</v>
      </c>
    </row>
    <row r="836" spans="1:6" x14ac:dyDescent="0.2">
      <c r="A836">
        <v>71596133</v>
      </c>
      <c r="B836">
        <v>2010</v>
      </c>
      <c r="C836">
        <v>48.469387755101998</v>
      </c>
      <c r="D836" t="s">
        <v>876</v>
      </c>
      <c r="E836" t="s">
        <v>877</v>
      </c>
      <c r="F836" t="s">
        <v>622</v>
      </c>
    </row>
    <row r="837" spans="1:6" x14ac:dyDescent="0.2">
      <c r="A837">
        <v>87658781</v>
      </c>
      <c r="B837">
        <v>2020</v>
      </c>
      <c r="C837">
        <v>57.454545454545503</v>
      </c>
      <c r="D837" t="s">
        <v>771</v>
      </c>
      <c r="E837" t="s">
        <v>681</v>
      </c>
      <c r="F837" t="s">
        <v>1126</v>
      </c>
    </row>
    <row r="838" spans="1:6" x14ac:dyDescent="0.2">
      <c r="A838">
        <v>87658781</v>
      </c>
      <c r="B838">
        <v>2019</v>
      </c>
      <c r="C838">
        <v>55.165333333333301</v>
      </c>
      <c r="D838" t="s">
        <v>771</v>
      </c>
      <c r="E838" t="s">
        <v>681</v>
      </c>
      <c r="F838" t="s">
        <v>1126</v>
      </c>
    </row>
    <row r="839" spans="1:6" x14ac:dyDescent="0.2">
      <c r="A839">
        <v>87658781</v>
      </c>
      <c r="B839">
        <v>2018</v>
      </c>
      <c r="C839">
        <v>50.213571428571399</v>
      </c>
      <c r="D839" t="s">
        <v>771</v>
      </c>
      <c r="E839" t="s">
        <v>681</v>
      </c>
      <c r="F839" t="s">
        <v>1126</v>
      </c>
    </row>
    <row r="840" spans="1:6" x14ac:dyDescent="0.2">
      <c r="A840">
        <v>87658781</v>
      </c>
      <c r="B840">
        <v>2017</v>
      </c>
      <c r="C840">
        <v>62.070714285714303</v>
      </c>
      <c r="D840" t="s">
        <v>771</v>
      </c>
      <c r="E840" t="s">
        <v>681</v>
      </c>
      <c r="F840" t="s">
        <v>1126</v>
      </c>
    </row>
    <row r="841" spans="1:6" x14ac:dyDescent="0.2">
      <c r="A841">
        <v>87658781</v>
      </c>
      <c r="B841">
        <v>2016</v>
      </c>
      <c r="C841">
        <v>44.3333333333333</v>
      </c>
      <c r="D841" t="s">
        <v>771</v>
      </c>
      <c r="E841" t="s">
        <v>681</v>
      </c>
      <c r="F841" t="s">
        <v>1126</v>
      </c>
    </row>
    <row r="842" spans="1:6" x14ac:dyDescent="0.2">
      <c r="A842">
        <v>87658781</v>
      </c>
      <c r="B842">
        <v>2015</v>
      </c>
      <c r="C842">
        <v>42.888666666666701</v>
      </c>
      <c r="D842" t="s">
        <v>771</v>
      </c>
      <c r="E842" t="s">
        <v>681</v>
      </c>
      <c r="F842" t="s">
        <v>1126</v>
      </c>
    </row>
    <row r="843" spans="1:6" x14ac:dyDescent="0.2">
      <c r="A843">
        <v>87658781</v>
      </c>
      <c r="B843">
        <v>2013</v>
      </c>
      <c r="C843">
        <v>61.6666666666667</v>
      </c>
      <c r="D843" t="s">
        <v>771</v>
      </c>
      <c r="E843" t="s">
        <v>681</v>
      </c>
      <c r="F843" t="s">
        <v>1126</v>
      </c>
    </row>
    <row r="844" spans="1:6" x14ac:dyDescent="0.2">
      <c r="A844">
        <v>50215916</v>
      </c>
      <c r="B844">
        <v>2020</v>
      </c>
      <c r="C844">
        <v>48.854230917394602</v>
      </c>
      <c r="D844" t="s">
        <v>38</v>
      </c>
      <c r="E844"/>
      <c r="F844" t="s">
        <v>39</v>
      </c>
    </row>
    <row r="845" spans="1:6" x14ac:dyDescent="0.2">
      <c r="A845">
        <v>50215916</v>
      </c>
      <c r="B845">
        <v>2019</v>
      </c>
      <c r="C845">
        <v>49.399906970033904</v>
      </c>
      <c r="D845" t="s">
        <v>38</v>
      </c>
      <c r="E845"/>
      <c r="F845" t="s">
        <v>39</v>
      </c>
    </row>
    <row r="846" spans="1:6" x14ac:dyDescent="0.2">
      <c r="A846">
        <v>50215916</v>
      </c>
      <c r="B846">
        <v>2018</v>
      </c>
      <c r="C846">
        <v>50.784901449388201</v>
      </c>
      <c r="D846" t="s">
        <v>38</v>
      </c>
      <c r="E846"/>
      <c r="F846" t="s">
        <v>39</v>
      </c>
    </row>
    <row r="847" spans="1:6" x14ac:dyDescent="0.2">
      <c r="A847">
        <v>50215916</v>
      </c>
      <c r="B847">
        <v>2017</v>
      </c>
      <c r="C847">
        <v>48.0417701420836</v>
      </c>
      <c r="D847" t="s">
        <v>38</v>
      </c>
      <c r="E847"/>
      <c r="F847" t="s">
        <v>39</v>
      </c>
    </row>
    <row r="848" spans="1:6" x14ac:dyDescent="0.2">
      <c r="A848">
        <v>50215916</v>
      </c>
      <c r="B848">
        <v>2016</v>
      </c>
      <c r="C848">
        <v>45.1576512657509</v>
      </c>
      <c r="D848" t="s">
        <v>38</v>
      </c>
      <c r="E848"/>
      <c r="F848" t="s">
        <v>39</v>
      </c>
    </row>
    <row r="849" spans="1:6" x14ac:dyDescent="0.2">
      <c r="A849">
        <v>50215916</v>
      </c>
      <c r="B849">
        <v>2015</v>
      </c>
      <c r="C849">
        <v>39.528329019269499</v>
      </c>
      <c r="D849" t="s">
        <v>38</v>
      </c>
      <c r="E849"/>
      <c r="F849" t="s">
        <v>39</v>
      </c>
    </row>
    <row r="850" spans="1:6" x14ac:dyDescent="0.2">
      <c r="A850">
        <v>50215916</v>
      </c>
      <c r="B850">
        <v>2014</v>
      </c>
      <c r="C850">
        <v>52.217988842019302</v>
      </c>
      <c r="D850" t="s">
        <v>38</v>
      </c>
      <c r="E850"/>
      <c r="F850" t="s">
        <v>39</v>
      </c>
    </row>
    <row r="851" spans="1:6" x14ac:dyDescent="0.2">
      <c r="A851">
        <v>50215916</v>
      </c>
      <c r="B851">
        <v>2013</v>
      </c>
      <c r="C851">
        <v>47.225501770956299</v>
      </c>
      <c r="D851" t="s">
        <v>38</v>
      </c>
      <c r="E851"/>
      <c r="F851" t="s">
        <v>39</v>
      </c>
    </row>
    <row r="852" spans="1:6" x14ac:dyDescent="0.2">
      <c r="A852">
        <v>50215916</v>
      </c>
      <c r="B852">
        <v>2012</v>
      </c>
      <c r="C852">
        <v>42.239858906525598</v>
      </c>
      <c r="D852" t="s">
        <v>38</v>
      </c>
      <c r="E852"/>
      <c r="F852" t="s">
        <v>39</v>
      </c>
    </row>
    <row r="853" spans="1:6" x14ac:dyDescent="0.2">
      <c r="A853">
        <v>50215916</v>
      </c>
      <c r="B853">
        <v>2011</v>
      </c>
      <c r="C853">
        <v>50.362318840579697</v>
      </c>
      <c r="D853" t="s">
        <v>38</v>
      </c>
      <c r="E853"/>
      <c r="F853" t="s">
        <v>39</v>
      </c>
    </row>
    <row r="854" spans="1:6" x14ac:dyDescent="0.2">
      <c r="A854">
        <v>61135993</v>
      </c>
      <c r="B854">
        <v>2018</v>
      </c>
      <c r="C854">
        <v>54.798000000000002</v>
      </c>
      <c r="D854" t="s">
        <v>1049</v>
      </c>
      <c r="E854" t="s">
        <v>494</v>
      </c>
      <c r="F854" t="s">
        <v>1126</v>
      </c>
    </row>
    <row r="855" spans="1:6" x14ac:dyDescent="0.2">
      <c r="A855">
        <v>61135993</v>
      </c>
      <c r="B855">
        <v>2016</v>
      </c>
      <c r="C855">
        <v>54.6</v>
      </c>
      <c r="D855" t="s">
        <v>1049</v>
      </c>
      <c r="E855" t="s">
        <v>494</v>
      </c>
      <c r="F855" t="s">
        <v>1126</v>
      </c>
    </row>
    <row r="856" spans="1:6" x14ac:dyDescent="0.2">
      <c r="A856">
        <v>48454100</v>
      </c>
      <c r="B856">
        <v>2020</v>
      </c>
      <c r="C856">
        <v>61.664999999999999</v>
      </c>
      <c r="D856" t="s">
        <v>715</v>
      </c>
      <c r="E856" t="s">
        <v>681</v>
      </c>
      <c r="F856" t="s">
        <v>1126</v>
      </c>
    </row>
    <row r="857" spans="1:6" x14ac:dyDescent="0.2">
      <c r="A857">
        <v>48454100</v>
      </c>
      <c r="B857">
        <v>2019</v>
      </c>
      <c r="C857">
        <v>60.788181818181798</v>
      </c>
      <c r="D857" t="s">
        <v>715</v>
      </c>
      <c r="E857" t="s">
        <v>681</v>
      </c>
      <c r="F857" t="s">
        <v>1126</v>
      </c>
    </row>
    <row r="858" spans="1:6" x14ac:dyDescent="0.2">
      <c r="A858">
        <v>48454100</v>
      </c>
      <c r="B858">
        <v>2018</v>
      </c>
      <c r="C858">
        <v>55.449090909090899</v>
      </c>
      <c r="D858" t="s">
        <v>715</v>
      </c>
      <c r="E858" t="s">
        <v>681</v>
      </c>
      <c r="F858" t="s">
        <v>1126</v>
      </c>
    </row>
    <row r="859" spans="1:6" x14ac:dyDescent="0.2">
      <c r="A859">
        <v>48454100</v>
      </c>
      <c r="B859">
        <v>2017</v>
      </c>
      <c r="C859">
        <v>48.6354545454545</v>
      </c>
      <c r="D859" t="s">
        <v>715</v>
      </c>
      <c r="E859" t="s">
        <v>681</v>
      </c>
      <c r="F859" t="s">
        <v>1126</v>
      </c>
    </row>
    <row r="860" spans="1:6" x14ac:dyDescent="0.2">
      <c r="A860">
        <v>48454100</v>
      </c>
      <c r="B860">
        <v>2016</v>
      </c>
      <c r="C860">
        <v>45.0833333333333</v>
      </c>
      <c r="D860" t="s">
        <v>715</v>
      </c>
      <c r="E860" t="s">
        <v>681</v>
      </c>
      <c r="F860" t="s">
        <v>1126</v>
      </c>
    </row>
    <row r="861" spans="1:6" x14ac:dyDescent="0.2">
      <c r="A861">
        <v>48454100</v>
      </c>
      <c r="B861">
        <v>2015</v>
      </c>
      <c r="C861">
        <v>51.999000000000002</v>
      </c>
      <c r="D861" t="s">
        <v>715</v>
      </c>
      <c r="E861" t="s">
        <v>681</v>
      </c>
      <c r="F861" t="s">
        <v>1126</v>
      </c>
    </row>
    <row r="862" spans="1:6" x14ac:dyDescent="0.2">
      <c r="A862">
        <v>63555430</v>
      </c>
      <c r="B862">
        <v>2020</v>
      </c>
      <c r="C862">
        <v>8.5076884295437392</v>
      </c>
      <c r="D862" t="s">
        <v>898</v>
      </c>
      <c r="E862" t="s">
        <v>899</v>
      </c>
      <c r="F862" t="s">
        <v>600</v>
      </c>
    </row>
    <row r="863" spans="1:6" x14ac:dyDescent="0.2">
      <c r="A863">
        <v>63555430</v>
      </c>
      <c r="B863">
        <v>2019</v>
      </c>
      <c r="C863">
        <v>8.3114908872240392</v>
      </c>
      <c r="D863" t="s">
        <v>898</v>
      </c>
      <c r="E863" t="s">
        <v>899</v>
      </c>
      <c r="F863" t="s">
        <v>600</v>
      </c>
    </row>
    <row r="864" spans="1:6" x14ac:dyDescent="0.2">
      <c r="A864">
        <v>63555430</v>
      </c>
      <c r="B864">
        <v>2018</v>
      </c>
      <c r="C864">
        <v>8.6788287353422593</v>
      </c>
      <c r="D864" t="s">
        <v>898</v>
      </c>
      <c r="E864" t="s">
        <v>899</v>
      </c>
      <c r="F864" t="s">
        <v>600</v>
      </c>
    </row>
    <row r="865" spans="1:6" x14ac:dyDescent="0.2">
      <c r="A865">
        <v>63555430</v>
      </c>
      <c r="B865">
        <v>2017</v>
      </c>
      <c r="C865">
        <v>8.0705895503931107</v>
      </c>
      <c r="D865" t="s">
        <v>898</v>
      </c>
      <c r="E865" t="s">
        <v>899</v>
      </c>
      <c r="F865" t="s">
        <v>600</v>
      </c>
    </row>
    <row r="866" spans="1:6" x14ac:dyDescent="0.2">
      <c r="A866">
        <v>63555430</v>
      </c>
      <c r="B866">
        <v>2016</v>
      </c>
      <c r="C866">
        <v>7.9123116058336</v>
      </c>
      <c r="D866" t="s">
        <v>898</v>
      </c>
      <c r="E866" t="s">
        <v>899</v>
      </c>
      <c r="F866" t="s">
        <v>600</v>
      </c>
    </row>
    <row r="867" spans="1:6" x14ac:dyDescent="0.2">
      <c r="A867">
        <v>63555430</v>
      </c>
      <c r="B867">
        <v>2015</v>
      </c>
      <c r="C867">
        <v>7.8506710797724804</v>
      </c>
      <c r="D867" t="s">
        <v>898</v>
      </c>
      <c r="E867" t="s">
        <v>899</v>
      </c>
      <c r="F867" t="s">
        <v>600</v>
      </c>
    </row>
    <row r="868" spans="1:6" x14ac:dyDescent="0.2">
      <c r="A868">
        <v>63555430</v>
      </c>
      <c r="B868">
        <v>2014</v>
      </c>
      <c r="C868">
        <v>10.774994581540099</v>
      </c>
      <c r="D868" t="s">
        <v>898</v>
      </c>
      <c r="E868" t="s">
        <v>899</v>
      </c>
      <c r="F868" t="s">
        <v>600</v>
      </c>
    </row>
    <row r="869" spans="1:6" x14ac:dyDescent="0.2">
      <c r="A869">
        <v>63555430</v>
      </c>
      <c r="B869">
        <v>2013</v>
      </c>
      <c r="C869">
        <v>9.2317837124958793</v>
      </c>
      <c r="D869" t="s">
        <v>898</v>
      </c>
      <c r="E869" t="s">
        <v>899</v>
      </c>
      <c r="F869" t="s">
        <v>600</v>
      </c>
    </row>
    <row r="870" spans="1:6" x14ac:dyDescent="0.2">
      <c r="A870">
        <v>63555430</v>
      </c>
      <c r="B870">
        <v>2012</v>
      </c>
      <c r="C870">
        <v>9.29752066115703</v>
      </c>
      <c r="D870" t="s">
        <v>898</v>
      </c>
      <c r="E870" t="s">
        <v>899</v>
      </c>
      <c r="F870" t="s">
        <v>600</v>
      </c>
    </row>
    <row r="871" spans="1:6" x14ac:dyDescent="0.2">
      <c r="A871">
        <v>63555430</v>
      </c>
      <c r="B871">
        <v>2011</v>
      </c>
      <c r="C871">
        <v>11.4219114219114</v>
      </c>
      <c r="D871" t="s">
        <v>898</v>
      </c>
      <c r="E871" t="s">
        <v>899</v>
      </c>
      <c r="F871" t="s">
        <v>600</v>
      </c>
    </row>
    <row r="872" spans="1:6" x14ac:dyDescent="0.2">
      <c r="A872">
        <v>63555430</v>
      </c>
      <c r="B872">
        <v>2010</v>
      </c>
      <c r="C872">
        <v>7.5227164036346297</v>
      </c>
      <c r="D872" t="s">
        <v>898</v>
      </c>
      <c r="E872" t="s">
        <v>899</v>
      </c>
      <c r="F872" t="s">
        <v>600</v>
      </c>
    </row>
    <row r="873" spans="1:6" x14ac:dyDescent="0.2">
      <c r="A873">
        <v>73960066</v>
      </c>
      <c r="B873">
        <v>2020</v>
      </c>
      <c r="C873">
        <v>10.9756283100104</v>
      </c>
      <c r="D873" t="s">
        <v>529</v>
      </c>
      <c r="E873" t="s">
        <v>161</v>
      </c>
      <c r="F873" t="s">
        <v>137</v>
      </c>
    </row>
    <row r="874" spans="1:6" x14ac:dyDescent="0.2">
      <c r="A874">
        <v>73960066</v>
      </c>
      <c r="B874">
        <v>2019</v>
      </c>
      <c r="C874">
        <v>11.949740015414701</v>
      </c>
      <c r="D874" t="s">
        <v>529</v>
      </c>
      <c r="E874" t="s">
        <v>161</v>
      </c>
      <c r="F874" t="s">
        <v>137</v>
      </c>
    </row>
    <row r="875" spans="1:6" x14ac:dyDescent="0.2">
      <c r="A875">
        <v>73960066</v>
      </c>
      <c r="B875">
        <v>2018</v>
      </c>
      <c r="C875">
        <v>16.549314100895899</v>
      </c>
      <c r="D875" t="s">
        <v>529</v>
      </c>
      <c r="E875" t="s">
        <v>161</v>
      </c>
      <c r="F875" t="s">
        <v>137</v>
      </c>
    </row>
    <row r="876" spans="1:6" x14ac:dyDescent="0.2">
      <c r="A876">
        <v>73960066</v>
      </c>
      <c r="B876">
        <v>2017</v>
      </c>
      <c r="C876">
        <v>14.8373636500122</v>
      </c>
      <c r="D876" t="s">
        <v>529</v>
      </c>
      <c r="E876" t="s">
        <v>161</v>
      </c>
      <c r="F876" t="s">
        <v>137</v>
      </c>
    </row>
    <row r="877" spans="1:6" x14ac:dyDescent="0.2">
      <c r="A877">
        <v>73960066</v>
      </c>
      <c r="B877">
        <v>2016</v>
      </c>
      <c r="C877">
        <v>16.245230494308899</v>
      </c>
      <c r="D877" t="s">
        <v>529</v>
      </c>
      <c r="E877" t="s">
        <v>161</v>
      </c>
      <c r="F877" t="s">
        <v>137</v>
      </c>
    </row>
    <row r="878" spans="1:6" x14ac:dyDescent="0.2">
      <c r="A878">
        <v>73960066</v>
      </c>
      <c r="B878">
        <v>2015</v>
      </c>
      <c r="C878">
        <v>24.105224545406902</v>
      </c>
      <c r="D878" t="s">
        <v>529</v>
      </c>
      <c r="E878" t="s">
        <v>161</v>
      </c>
      <c r="F878" t="s">
        <v>137</v>
      </c>
    </row>
    <row r="879" spans="1:6" x14ac:dyDescent="0.2">
      <c r="A879">
        <v>73960066</v>
      </c>
      <c r="B879">
        <v>2014</v>
      </c>
      <c r="C879">
        <v>22.532075818181902</v>
      </c>
      <c r="D879" t="s">
        <v>529</v>
      </c>
      <c r="E879" t="s">
        <v>161</v>
      </c>
      <c r="F879" t="s">
        <v>137</v>
      </c>
    </row>
    <row r="880" spans="1:6" x14ac:dyDescent="0.2">
      <c r="A880">
        <v>73960066</v>
      </c>
      <c r="B880">
        <v>2013</v>
      </c>
      <c r="C880">
        <v>19.908554572271399</v>
      </c>
      <c r="D880" t="s">
        <v>529</v>
      </c>
      <c r="E880" t="s">
        <v>161</v>
      </c>
      <c r="F880" t="s">
        <v>137</v>
      </c>
    </row>
    <row r="881" spans="1:6" x14ac:dyDescent="0.2">
      <c r="A881">
        <v>95521529</v>
      </c>
      <c r="B881">
        <v>2020</v>
      </c>
      <c r="C881">
        <v>34.236127966296102</v>
      </c>
      <c r="D881" t="s">
        <v>795</v>
      </c>
      <c r="E881" t="s">
        <v>795</v>
      </c>
      <c r="F881" t="s">
        <v>83</v>
      </c>
    </row>
    <row r="882" spans="1:6" x14ac:dyDescent="0.2">
      <c r="A882">
        <v>95521529</v>
      </c>
      <c r="B882">
        <v>2018</v>
      </c>
      <c r="C882">
        <v>50.3605628868387</v>
      </c>
      <c r="D882" t="s">
        <v>795</v>
      </c>
      <c r="E882" t="s">
        <v>795</v>
      </c>
      <c r="F882" t="s">
        <v>83</v>
      </c>
    </row>
    <row r="883" spans="1:6" x14ac:dyDescent="0.2">
      <c r="A883">
        <v>95521529</v>
      </c>
      <c r="B883">
        <v>2017</v>
      </c>
      <c r="C883">
        <v>32.639539144241297</v>
      </c>
      <c r="D883" t="s">
        <v>795</v>
      </c>
      <c r="E883" t="s">
        <v>795</v>
      </c>
      <c r="F883" t="s">
        <v>83</v>
      </c>
    </row>
    <row r="884" spans="1:6" x14ac:dyDescent="0.2">
      <c r="A884">
        <v>95521529</v>
      </c>
      <c r="B884">
        <v>2016</v>
      </c>
      <c r="C884">
        <v>30.877511635826998</v>
      </c>
      <c r="D884" t="s">
        <v>795</v>
      </c>
      <c r="E884" t="s">
        <v>795</v>
      </c>
      <c r="F884" t="s">
        <v>83</v>
      </c>
    </row>
    <row r="885" spans="1:6" x14ac:dyDescent="0.2">
      <c r="A885">
        <v>95521529</v>
      </c>
      <c r="B885">
        <v>2014</v>
      </c>
      <c r="C885">
        <v>24.901347122057398</v>
      </c>
      <c r="D885" t="s">
        <v>795</v>
      </c>
      <c r="E885" t="s">
        <v>795</v>
      </c>
      <c r="F885" t="s">
        <v>83</v>
      </c>
    </row>
    <row r="886" spans="1:6" x14ac:dyDescent="0.2">
      <c r="A886">
        <v>95521529</v>
      </c>
      <c r="B886">
        <v>2013</v>
      </c>
      <c r="C886">
        <v>29.870129870129901</v>
      </c>
      <c r="D886" t="s">
        <v>795</v>
      </c>
      <c r="E886" t="s">
        <v>795</v>
      </c>
      <c r="F886" t="s">
        <v>83</v>
      </c>
    </row>
    <row r="887" spans="1:6" x14ac:dyDescent="0.2">
      <c r="A887">
        <v>95521529</v>
      </c>
      <c r="B887">
        <v>2012</v>
      </c>
      <c r="C887">
        <v>23.765432098765402</v>
      </c>
      <c r="D887" t="s">
        <v>795</v>
      </c>
      <c r="E887" t="s">
        <v>795</v>
      </c>
      <c r="F887" t="s">
        <v>83</v>
      </c>
    </row>
    <row r="888" spans="1:6" x14ac:dyDescent="0.2">
      <c r="A888">
        <v>95521529</v>
      </c>
      <c r="B888">
        <v>2011</v>
      </c>
      <c r="C888">
        <v>28.985507246376802</v>
      </c>
      <c r="D888" t="s">
        <v>795</v>
      </c>
      <c r="E888" t="s">
        <v>795</v>
      </c>
      <c r="F888" t="s">
        <v>83</v>
      </c>
    </row>
    <row r="889" spans="1:6" x14ac:dyDescent="0.2">
      <c r="A889">
        <v>90051837</v>
      </c>
      <c r="B889">
        <v>2019</v>
      </c>
      <c r="C889">
        <v>68.888333333333307</v>
      </c>
      <c r="D889" t="s">
        <v>1088</v>
      </c>
      <c r="E889" t="s">
        <v>123</v>
      </c>
      <c r="F889" t="s">
        <v>1126</v>
      </c>
    </row>
    <row r="890" spans="1:6" x14ac:dyDescent="0.2">
      <c r="A890">
        <v>90051837</v>
      </c>
      <c r="B890">
        <v>2017</v>
      </c>
      <c r="C890">
        <v>57.845999999999997</v>
      </c>
      <c r="D890" t="s">
        <v>1088</v>
      </c>
      <c r="E890" t="s">
        <v>123</v>
      </c>
      <c r="F890" t="s">
        <v>1126</v>
      </c>
    </row>
    <row r="891" spans="1:6" x14ac:dyDescent="0.2">
      <c r="A891">
        <v>13466737</v>
      </c>
      <c r="B891">
        <v>2020</v>
      </c>
      <c r="C891">
        <v>35.850514488283999</v>
      </c>
      <c r="D891" t="s">
        <v>54</v>
      </c>
      <c r="E891" t="s">
        <v>55</v>
      </c>
      <c r="F891" t="s">
        <v>7</v>
      </c>
    </row>
    <row r="892" spans="1:6" x14ac:dyDescent="0.2">
      <c r="A892">
        <v>13466737</v>
      </c>
      <c r="B892">
        <v>2019</v>
      </c>
      <c r="C892">
        <v>29.662629564127201</v>
      </c>
      <c r="D892" t="s">
        <v>54</v>
      </c>
      <c r="E892" t="s">
        <v>55</v>
      </c>
      <c r="F892" t="s">
        <v>7</v>
      </c>
    </row>
    <row r="893" spans="1:6" x14ac:dyDescent="0.2">
      <c r="A893">
        <v>13466737</v>
      </c>
      <c r="B893">
        <v>2018</v>
      </c>
      <c r="C893">
        <v>37.121919887889803</v>
      </c>
      <c r="D893" t="s">
        <v>54</v>
      </c>
      <c r="E893" t="s">
        <v>55</v>
      </c>
      <c r="F893" t="s">
        <v>7</v>
      </c>
    </row>
    <row r="894" spans="1:6" x14ac:dyDescent="0.2">
      <c r="A894">
        <v>13466737</v>
      </c>
      <c r="B894">
        <v>2017</v>
      </c>
      <c r="C894">
        <v>22.944189431258401</v>
      </c>
      <c r="D894" t="s">
        <v>54</v>
      </c>
      <c r="E894" t="s">
        <v>55</v>
      </c>
      <c r="F894" t="s">
        <v>7</v>
      </c>
    </row>
    <row r="895" spans="1:6" x14ac:dyDescent="0.2">
      <c r="A895">
        <v>13466737</v>
      </c>
      <c r="B895">
        <v>2016</v>
      </c>
      <c r="C895">
        <v>25.8826200476785</v>
      </c>
      <c r="D895" t="s">
        <v>54</v>
      </c>
      <c r="E895" t="s">
        <v>55</v>
      </c>
      <c r="F895" t="s">
        <v>7</v>
      </c>
    </row>
    <row r="896" spans="1:6" x14ac:dyDescent="0.2">
      <c r="A896">
        <v>13466737</v>
      </c>
      <c r="B896">
        <v>2015</v>
      </c>
      <c r="C896">
        <v>23.3029751062538</v>
      </c>
      <c r="D896" t="s">
        <v>54</v>
      </c>
      <c r="E896" t="s">
        <v>55</v>
      </c>
      <c r="F896" t="s">
        <v>7</v>
      </c>
    </row>
    <row r="897" spans="1:6" x14ac:dyDescent="0.2">
      <c r="A897">
        <v>13466737</v>
      </c>
      <c r="B897">
        <v>2014</v>
      </c>
      <c r="C897">
        <v>34.018233773302498</v>
      </c>
      <c r="D897" t="s">
        <v>54</v>
      </c>
      <c r="E897" t="s">
        <v>55</v>
      </c>
      <c r="F897" t="s">
        <v>7</v>
      </c>
    </row>
    <row r="898" spans="1:6" x14ac:dyDescent="0.2">
      <c r="A898">
        <v>13466737</v>
      </c>
      <c r="B898">
        <v>2013</v>
      </c>
      <c r="C898">
        <v>28.138528138528098</v>
      </c>
      <c r="D898" t="s">
        <v>54</v>
      </c>
      <c r="E898" t="s">
        <v>55</v>
      </c>
      <c r="F898" t="s">
        <v>7</v>
      </c>
    </row>
    <row r="899" spans="1:6" x14ac:dyDescent="0.2">
      <c r="A899">
        <v>13466737</v>
      </c>
      <c r="B899">
        <v>2012</v>
      </c>
      <c r="C899">
        <v>24.6913580246914</v>
      </c>
      <c r="D899" t="s">
        <v>54</v>
      </c>
      <c r="E899" t="s">
        <v>55</v>
      </c>
      <c r="F899" t="s">
        <v>7</v>
      </c>
    </row>
    <row r="900" spans="1:6" x14ac:dyDescent="0.2">
      <c r="A900">
        <v>13466737</v>
      </c>
      <c r="B900">
        <v>2011</v>
      </c>
      <c r="C900">
        <v>25.3623188405797</v>
      </c>
      <c r="D900" t="s">
        <v>54</v>
      </c>
      <c r="E900" t="s">
        <v>55</v>
      </c>
      <c r="F900" t="s">
        <v>7</v>
      </c>
    </row>
    <row r="901" spans="1:6" x14ac:dyDescent="0.2">
      <c r="A901">
        <v>98041174</v>
      </c>
      <c r="B901">
        <v>2020</v>
      </c>
      <c r="C901">
        <v>17.423167712494799</v>
      </c>
      <c r="D901" t="s">
        <v>692</v>
      </c>
      <c r="E901" t="s">
        <v>693</v>
      </c>
      <c r="F901" t="s">
        <v>694</v>
      </c>
    </row>
    <row r="902" spans="1:6" x14ac:dyDescent="0.2">
      <c r="A902">
        <v>98041174</v>
      </c>
      <c r="B902">
        <v>2019</v>
      </c>
      <c r="C902">
        <v>15.876477982958599</v>
      </c>
      <c r="D902" t="s">
        <v>692</v>
      </c>
      <c r="E902" t="s">
        <v>693</v>
      </c>
      <c r="F902" t="s">
        <v>694</v>
      </c>
    </row>
    <row r="903" spans="1:6" x14ac:dyDescent="0.2">
      <c r="A903">
        <v>98041174</v>
      </c>
      <c r="B903">
        <v>2018</v>
      </c>
      <c r="C903">
        <v>16.059023627265901</v>
      </c>
      <c r="D903" t="s">
        <v>692</v>
      </c>
      <c r="E903" t="s">
        <v>693</v>
      </c>
      <c r="F903" t="s">
        <v>694</v>
      </c>
    </row>
    <row r="904" spans="1:6" x14ac:dyDescent="0.2">
      <c r="A904">
        <v>98041174</v>
      </c>
      <c r="B904">
        <v>2017</v>
      </c>
      <c r="C904">
        <v>17.2423884150415</v>
      </c>
      <c r="D904" t="s">
        <v>692</v>
      </c>
      <c r="E904" t="s">
        <v>693</v>
      </c>
      <c r="F904" t="s">
        <v>694</v>
      </c>
    </row>
    <row r="905" spans="1:6" x14ac:dyDescent="0.2">
      <c r="A905">
        <v>98041174</v>
      </c>
      <c r="B905">
        <v>2016</v>
      </c>
      <c r="C905">
        <v>17.5212183859134</v>
      </c>
      <c r="D905" t="s">
        <v>692</v>
      </c>
      <c r="E905" t="s">
        <v>693</v>
      </c>
      <c r="F905" t="s">
        <v>694</v>
      </c>
    </row>
    <row r="906" spans="1:6" x14ac:dyDescent="0.2">
      <c r="A906">
        <v>98041174</v>
      </c>
      <c r="B906">
        <v>2015</v>
      </c>
      <c r="C906">
        <v>42.427183258059301</v>
      </c>
      <c r="D906" t="s">
        <v>692</v>
      </c>
      <c r="E906" t="s">
        <v>693</v>
      </c>
      <c r="F906" t="s">
        <v>694</v>
      </c>
    </row>
    <row r="907" spans="1:6" x14ac:dyDescent="0.2">
      <c r="A907">
        <v>98041174</v>
      </c>
      <c r="B907">
        <v>2014</v>
      </c>
      <c r="C907">
        <v>11.0699574179291</v>
      </c>
      <c r="D907" t="s">
        <v>692</v>
      </c>
      <c r="E907" t="s">
        <v>693</v>
      </c>
      <c r="F907" t="s">
        <v>694</v>
      </c>
    </row>
    <row r="908" spans="1:6" x14ac:dyDescent="0.2">
      <c r="A908">
        <v>98041174</v>
      </c>
      <c r="B908">
        <v>2013</v>
      </c>
      <c r="C908">
        <v>19.220984792809102</v>
      </c>
      <c r="D908" t="s">
        <v>692</v>
      </c>
      <c r="E908" t="s">
        <v>693</v>
      </c>
      <c r="F908" t="s">
        <v>694</v>
      </c>
    </row>
    <row r="909" spans="1:6" x14ac:dyDescent="0.2">
      <c r="A909">
        <v>98041174</v>
      </c>
      <c r="B909">
        <v>2012</v>
      </c>
      <c r="C909">
        <v>23.983956769247602</v>
      </c>
      <c r="D909" t="s">
        <v>692</v>
      </c>
      <c r="E909" t="s">
        <v>693</v>
      </c>
      <c r="F909" t="s">
        <v>694</v>
      </c>
    </row>
    <row r="910" spans="1:6" x14ac:dyDescent="0.2">
      <c r="A910">
        <v>98041174</v>
      </c>
      <c r="B910">
        <v>2011</v>
      </c>
      <c r="C910">
        <v>21.344999999999999</v>
      </c>
      <c r="D910" t="s">
        <v>692</v>
      </c>
      <c r="E910" t="s">
        <v>693</v>
      </c>
      <c r="F910" t="s">
        <v>694</v>
      </c>
    </row>
    <row r="911" spans="1:6" x14ac:dyDescent="0.2">
      <c r="A911">
        <v>31462833</v>
      </c>
      <c r="B911">
        <v>2020</v>
      </c>
      <c r="C911">
        <v>68.33</v>
      </c>
      <c r="D911" t="s">
        <v>832</v>
      </c>
      <c r="E911" t="s">
        <v>570</v>
      </c>
      <c r="F911" t="s">
        <v>1126</v>
      </c>
    </row>
    <row r="912" spans="1:6" x14ac:dyDescent="0.2">
      <c r="A912">
        <v>31462833</v>
      </c>
      <c r="B912">
        <v>2019</v>
      </c>
      <c r="C912">
        <v>65.27</v>
      </c>
      <c r="D912" t="s">
        <v>832</v>
      </c>
      <c r="E912" t="s">
        <v>570</v>
      </c>
      <c r="F912" t="s">
        <v>1126</v>
      </c>
    </row>
    <row r="913" spans="1:6" x14ac:dyDescent="0.2">
      <c r="A913">
        <v>31462833</v>
      </c>
      <c r="B913">
        <v>2018</v>
      </c>
      <c r="C913">
        <v>61.875</v>
      </c>
      <c r="D913" t="s">
        <v>832</v>
      </c>
      <c r="E913" t="s">
        <v>570</v>
      </c>
      <c r="F913" t="s">
        <v>1126</v>
      </c>
    </row>
    <row r="914" spans="1:6" x14ac:dyDescent="0.2">
      <c r="A914">
        <v>31462833</v>
      </c>
      <c r="B914">
        <v>2017</v>
      </c>
      <c r="C914">
        <v>64.285714285714306</v>
      </c>
      <c r="D914" t="s">
        <v>832</v>
      </c>
      <c r="E914" t="s">
        <v>570</v>
      </c>
      <c r="F914" t="s">
        <v>1126</v>
      </c>
    </row>
    <row r="915" spans="1:6" x14ac:dyDescent="0.2">
      <c r="A915">
        <v>31462833</v>
      </c>
      <c r="B915">
        <v>2016</v>
      </c>
      <c r="C915">
        <v>68.4444444444444</v>
      </c>
      <c r="D915" t="s">
        <v>832</v>
      </c>
      <c r="E915" t="s">
        <v>570</v>
      </c>
      <c r="F915" t="s">
        <v>1126</v>
      </c>
    </row>
    <row r="916" spans="1:6" x14ac:dyDescent="0.2">
      <c r="A916">
        <v>31462833</v>
      </c>
      <c r="B916">
        <v>2015</v>
      </c>
      <c r="C916">
        <v>49</v>
      </c>
      <c r="D916" t="s">
        <v>832</v>
      </c>
      <c r="E916" t="s">
        <v>570</v>
      </c>
      <c r="F916" t="s">
        <v>1126</v>
      </c>
    </row>
    <row r="917" spans="1:6" x14ac:dyDescent="0.2">
      <c r="A917">
        <v>87064230</v>
      </c>
      <c r="B917">
        <v>2019</v>
      </c>
      <c r="C917">
        <v>61.1666666666667</v>
      </c>
      <c r="D917" t="s">
        <v>720</v>
      </c>
      <c r="E917" t="s">
        <v>721</v>
      </c>
      <c r="F917" t="s">
        <v>1126</v>
      </c>
    </row>
    <row r="918" spans="1:6" x14ac:dyDescent="0.2">
      <c r="A918">
        <v>87064230</v>
      </c>
      <c r="B918">
        <v>2018</v>
      </c>
      <c r="C918">
        <v>58.597999999999999</v>
      </c>
      <c r="D918" t="s">
        <v>720</v>
      </c>
      <c r="E918" t="s">
        <v>721</v>
      </c>
      <c r="F918" t="s">
        <v>1126</v>
      </c>
    </row>
    <row r="919" spans="1:6" x14ac:dyDescent="0.2">
      <c r="A919">
        <v>87064230</v>
      </c>
      <c r="B919">
        <v>2017</v>
      </c>
      <c r="C919">
        <v>74.428571428571402</v>
      </c>
      <c r="D919" t="s">
        <v>720</v>
      </c>
      <c r="E919" t="s">
        <v>721</v>
      </c>
      <c r="F919" t="s">
        <v>1126</v>
      </c>
    </row>
    <row r="920" spans="1:6" x14ac:dyDescent="0.2">
      <c r="A920">
        <v>87064230</v>
      </c>
      <c r="B920">
        <v>2016</v>
      </c>
      <c r="C920">
        <v>51.564285714285703</v>
      </c>
      <c r="D920" t="s">
        <v>720</v>
      </c>
      <c r="E920" t="s">
        <v>721</v>
      </c>
      <c r="F920" t="s">
        <v>1126</v>
      </c>
    </row>
    <row r="921" spans="1:6" x14ac:dyDescent="0.2">
      <c r="A921">
        <v>87064230</v>
      </c>
      <c r="B921">
        <v>2014</v>
      </c>
      <c r="C921">
        <v>44</v>
      </c>
      <c r="D921" t="s">
        <v>720</v>
      </c>
      <c r="E921" t="s">
        <v>721</v>
      </c>
      <c r="F921" t="s">
        <v>1126</v>
      </c>
    </row>
    <row r="922" spans="1:6" x14ac:dyDescent="0.2">
      <c r="A922">
        <v>48252630</v>
      </c>
      <c r="B922">
        <v>2015</v>
      </c>
      <c r="C922">
        <v>35.0543770814593</v>
      </c>
      <c r="D922" t="s">
        <v>269</v>
      </c>
      <c r="E922" t="s">
        <v>270</v>
      </c>
      <c r="F922" t="s">
        <v>271</v>
      </c>
    </row>
    <row r="923" spans="1:6" x14ac:dyDescent="0.2">
      <c r="A923">
        <v>10636698</v>
      </c>
      <c r="B923">
        <v>2020</v>
      </c>
      <c r="C923">
        <v>53.177230238467097</v>
      </c>
      <c r="D923" t="s">
        <v>1084</v>
      </c>
      <c r="E923" t="s">
        <v>298</v>
      </c>
      <c r="F923" t="s">
        <v>33</v>
      </c>
    </row>
    <row r="924" spans="1:6" x14ac:dyDescent="0.2">
      <c r="A924">
        <v>10636698</v>
      </c>
      <c r="B924">
        <v>2018</v>
      </c>
      <c r="C924">
        <v>55.409486134895097</v>
      </c>
      <c r="D924" t="s">
        <v>1084</v>
      </c>
      <c r="E924" t="s">
        <v>298</v>
      </c>
      <c r="F924" t="s">
        <v>33</v>
      </c>
    </row>
    <row r="925" spans="1:6" x14ac:dyDescent="0.2">
      <c r="A925">
        <v>87069150</v>
      </c>
      <c r="B925">
        <v>2020</v>
      </c>
      <c r="C925">
        <v>25.1587590229983</v>
      </c>
      <c r="D925" t="s">
        <v>791</v>
      </c>
      <c r="E925" t="s">
        <v>792</v>
      </c>
      <c r="F925" t="s">
        <v>181</v>
      </c>
    </row>
    <row r="926" spans="1:6" x14ac:dyDescent="0.2">
      <c r="A926">
        <v>87069150</v>
      </c>
      <c r="B926">
        <v>2019</v>
      </c>
      <c r="C926">
        <v>27.967959905132702</v>
      </c>
      <c r="D926" t="s">
        <v>791</v>
      </c>
      <c r="E926" t="s">
        <v>792</v>
      </c>
      <c r="F926" t="s">
        <v>181</v>
      </c>
    </row>
    <row r="927" spans="1:6" x14ac:dyDescent="0.2">
      <c r="A927">
        <v>87069150</v>
      </c>
      <c r="B927">
        <v>2018</v>
      </c>
      <c r="C927">
        <v>42.661512165157703</v>
      </c>
      <c r="D927" t="s">
        <v>791</v>
      </c>
      <c r="E927" t="s">
        <v>792</v>
      </c>
      <c r="F927" t="s">
        <v>181</v>
      </c>
    </row>
    <row r="928" spans="1:6" x14ac:dyDescent="0.2">
      <c r="A928">
        <v>87069150</v>
      </c>
      <c r="B928">
        <v>2017</v>
      </c>
      <c r="C928">
        <v>54.367789498339</v>
      </c>
      <c r="D928" t="s">
        <v>791</v>
      </c>
      <c r="E928" t="s">
        <v>792</v>
      </c>
      <c r="F928" t="s">
        <v>181</v>
      </c>
    </row>
    <row r="929" spans="1:6" x14ac:dyDescent="0.2">
      <c r="A929">
        <v>87069150</v>
      </c>
      <c r="B929">
        <v>2016</v>
      </c>
      <c r="C929">
        <v>33.804293782177098</v>
      </c>
      <c r="D929" t="s">
        <v>791</v>
      </c>
      <c r="E929" t="s">
        <v>792</v>
      </c>
      <c r="F929" t="s">
        <v>181</v>
      </c>
    </row>
    <row r="930" spans="1:6" x14ac:dyDescent="0.2">
      <c r="A930">
        <v>33211005</v>
      </c>
      <c r="B930">
        <v>2018</v>
      </c>
      <c r="C930">
        <v>41.8467048152906</v>
      </c>
      <c r="D930" t="s">
        <v>1030</v>
      </c>
      <c r="E930"/>
      <c r="F930" t="s">
        <v>198</v>
      </c>
    </row>
    <row r="931" spans="1:6" x14ac:dyDescent="0.2">
      <c r="A931">
        <v>33211005</v>
      </c>
      <c r="B931">
        <v>2015</v>
      </c>
      <c r="C931">
        <v>18.5792349726776</v>
      </c>
      <c r="D931" t="s">
        <v>1030</v>
      </c>
      <c r="E931"/>
      <c r="F931" t="s">
        <v>198</v>
      </c>
    </row>
    <row r="932" spans="1:6" x14ac:dyDescent="0.2">
      <c r="A932">
        <v>40463965</v>
      </c>
      <c r="B932">
        <v>2020</v>
      </c>
      <c r="C932">
        <v>49.240930016815298</v>
      </c>
      <c r="D932" t="s">
        <v>709</v>
      </c>
      <c r="E932"/>
      <c r="F932" t="s">
        <v>232</v>
      </c>
    </row>
    <row r="933" spans="1:6" x14ac:dyDescent="0.2">
      <c r="A933">
        <v>40463965</v>
      </c>
      <c r="B933">
        <v>2019</v>
      </c>
      <c r="C933">
        <v>54.507211012013997</v>
      </c>
      <c r="D933" t="s">
        <v>709</v>
      </c>
      <c r="E933"/>
      <c r="F933" t="s">
        <v>232</v>
      </c>
    </row>
    <row r="934" spans="1:6" x14ac:dyDescent="0.2">
      <c r="A934">
        <v>40463965</v>
      </c>
      <c r="B934">
        <v>2018</v>
      </c>
      <c r="C934">
        <v>58.585386741406801</v>
      </c>
      <c r="D934" t="s">
        <v>709</v>
      </c>
      <c r="E934"/>
      <c r="F934" t="s">
        <v>232</v>
      </c>
    </row>
    <row r="935" spans="1:6" x14ac:dyDescent="0.2">
      <c r="A935">
        <v>40463965</v>
      </c>
      <c r="B935">
        <v>2017</v>
      </c>
      <c r="C935">
        <v>52.580609046126298</v>
      </c>
      <c r="D935" t="s">
        <v>709</v>
      </c>
      <c r="E935"/>
      <c r="F935" t="s">
        <v>232</v>
      </c>
    </row>
    <row r="936" spans="1:6" x14ac:dyDescent="0.2">
      <c r="A936">
        <v>40463965</v>
      </c>
      <c r="B936">
        <v>2016</v>
      </c>
      <c r="C936">
        <v>45.029704468914403</v>
      </c>
      <c r="D936" t="s">
        <v>709</v>
      </c>
      <c r="E936"/>
      <c r="F936" t="s">
        <v>232</v>
      </c>
    </row>
    <row r="937" spans="1:6" x14ac:dyDescent="0.2">
      <c r="A937">
        <v>40463965</v>
      </c>
      <c r="B937">
        <v>2015</v>
      </c>
      <c r="C937">
        <v>44.178226145439297</v>
      </c>
      <c r="D937" t="s">
        <v>709</v>
      </c>
      <c r="E937"/>
      <c r="F937" t="s">
        <v>232</v>
      </c>
    </row>
    <row r="938" spans="1:6" x14ac:dyDescent="0.2">
      <c r="A938">
        <v>40463965</v>
      </c>
      <c r="B938">
        <v>2014</v>
      </c>
      <c r="C938">
        <v>35.719145461967599</v>
      </c>
      <c r="D938" t="s">
        <v>709</v>
      </c>
      <c r="E938"/>
      <c r="F938" t="s">
        <v>232</v>
      </c>
    </row>
    <row r="939" spans="1:6" x14ac:dyDescent="0.2">
      <c r="A939">
        <v>40463965</v>
      </c>
      <c r="B939">
        <v>2012</v>
      </c>
      <c r="C939">
        <v>49.691358024691397</v>
      </c>
      <c r="D939" t="s">
        <v>709</v>
      </c>
      <c r="E939"/>
      <c r="F939" t="s">
        <v>232</v>
      </c>
    </row>
    <row r="940" spans="1:6" x14ac:dyDescent="0.2">
      <c r="A940">
        <v>44502904</v>
      </c>
      <c r="B940">
        <v>2019</v>
      </c>
      <c r="C940">
        <v>71.25</v>
      </c>
      <c r="D940" t="s">
        <v>826</v>
      </c>
      <c r="E940" t="s">
        <v>123</v>
      </c>
      <c r="F940" t="s">
        <v>1126</v>
      </c>
    </row>
    <row r="941" spans="1:6" x14ac:dyDescent="0.2">
      <c r="A941">
        <v>44502904</v>
      </c>
      <c r="B941">
        <v>2018</v>
      </c>
      <c r="C941">
        <v>51.412857142857099</v>
      </c>
      <c r="D941" t="s">
        <v>826</v>
      </c>
      <c r="E941" t="s">
        <v>123</v>
      </c>
      <c r="F941" t="s">
        <v>1126</v>
      </c>
    </row>
    <row r="942" spans="1:6" x14ac:dyDescent="0.2">
      <c r="A942">
        <v>16776267</v>
      </c>
      <c r="B942">
        <v>2019</v>
      </c>
      <c r="C942">
        <v>41.0736855409505</v>
      </c>
      <c r="D942" t="s">
        <v>472</v>
      </c>
      <c r="E942" t="s">
        <v>18</v>
      </c>
      <c r="F942" t="s">
        <v>19</v>
      </c>
    </row>
    <row r="943" spans="1:6" x14ac:dyDescent="0.2">
      <c r="A943">
        <v>16776267</v>
      </c>
      <c r="B943">
        <v>2018</v>
      </c>
      <c r="C943">
        <v>35.366603581487503</v>
      </c>
      <c r="D943" t="s">
        <v>472</v>
      </c>
      <c r="E943" t="s">
        <v>18</v>
      </c>
      <c r="F943" t="s">
        <v>19</v>
      </c>
    </row>
    <row r="944" spans="1:6" x14ac:dyDescent="0.2">
      <c r="A944">
        <v>16776267</v>
      </c>
      <c r="B944">
        <v>2016</v>
      </c>
      <c r="C944">
        <v>24.530499344882799</v>
      </c>
      <c r="D944" t="s">
        <v>472</v>
      </c>
      <c r="E944" t="s">
        <v>18</v>
      </c>
      <c r="F944" t="s">
        <v>19</v>
      </c>
    </row>
    <row r="945" spans="1:6" x14ac:dyDescent="0.2">
      <c r="A945">
        <v>86192747</v>
      </c>
      <c r="B945">
        <v>2019</v>
      </c>
      <c r="C945">
        <v>7.7637632701535502</v>
      </c>
      <c r="D945" t="s">
        <v>972</v>
      </c>
      <c r="E945" t="s">
        <v>973</v>
      </c>
      <c r="F945" t="s">
        <v>600</v>
      </c>
    </row>
    <row r="946" spans="1:6" x14ac:dyDescent="0.2">
      <c r="A946">
        <v>86192747</v>
      </c>
      <c r="B946">
        <v>2018</v>
      </c>
      <c r="C946">
        <v>11.125301717430901</v>
      </c>
      <c r="D946" t="s">
        <v>972</v>
      </c>
      <c r="E946" t="s">
        <v>973</v>
      </c>
      <c r="F946" t="s">
        <v>600</v>
      </c>
    </row>
    <row r="947" spans="1:6" x14ac:dyDescent="0.2">
      <c r="A947">
        <v>86192747</v>
      </c>
      <c r="B947">
        <v>2016</v>
      </c>
      <c r="C947">
        <v>8.3119238325525195</v>
      </c>
      <c r="D947" t="s">
        <v>972</v>
      </c>
      <c r="E947" t="s">
        <v>973</v>
      </c>
      <c r="F947" t="s">
        <v>600</v>
      </c>
    </row>
    <row r="948" spans="1:6" x14ac:dyDescent="0.2">
      <c r="A948">
        <v>97168797</v>
      </c>
      <c r="B948">
        <v>2020</v>
      </c>
      <c r="C948">
        <v>44.4</v>
      </c>
      <c r="D948" t="s">
        <v>849</v>
      </c>
      <c r="E948" t="s">
        <v>850</v>
      </c>
      <c r="F948" t="s">
        <v>330</v>
      </c>
    </row>
    <row r="949" spans="1:6" x14ac:dyDescent="0.2">
      <c r="A949">
        <v>97168797</v>
      </c>
      <c r="B949">
        <v>2019</v>
      </c>
      <c r="C949">
        <v>34.618749999999999</v>
      </c>
      <c r="D949" t="s">
        <v>849</v>
      </c>
      <c r="E949" t="s">
        <v>850</v>
      </c>
      <c r="F949" t="s">
        <v>330</v>
      </c>
    </row>
    <row r="950" spans="1:6" x14ac:dyDescent="0.2">
      <c r="A950">
        <v>97168797</v>
      </c>
      <c r="B950">
        <v>2018</v>
      </c>
      <c r="C950">
        <v>41.25</v>
      </c>
      <c r="D950" t="s">
        <v>849</v>
      </c>
      <c r="E950" t="s">
        <v>850</v>
      </c>
      <c r="F950" t="s">
        <v>330</v>
      </c>
    </row>
    <row r="951" spans="1:6" x14ac:dyDescent="0.2">
      <c r="A951">
        <v>97168797</v>
      </c>
      <c r="B951">
        <v>2017</v>
      </c>
      <c r="C951">
        <v>33.272727272727302</v>
      </c>
      <c r="D951" t="s">
        <v>849</v>
      </c>
      <c r="E951" t="s">
        <v>850</v>
      </c>
      <c r="F951" t="s">
        <v>330</v>
      </c>
    </row>
    <row r="952" spans="1:6" x14ac:dyDescent="0.2">
      <c r="A952">
        <v>97168797</v>
      </c>
      <c r="B952">
        <v>2016</v>
      </c>
      <c r="C952">
        <v>49.714285714285701</v>
      </c>
      <c r="D952" t="s">
        <v>849</v>
      </c>
      <c r="E952" t="s">
        <v>850</v>
      </c>
      <c r="F952" t="s">
        <v>330</v>
      </c>
    </row>
    <row r="953" spans="1:6" x14ac:dyDescent="0.2">
      <c r="A953">
        <v>97168797</v>
      </c>
      <c r="B953">
        <v>2015</v>
      </c>
      <c r="C953">
        <v>36.722999999999999</v>
      </c>
      <c r="D953" t="s">
        <v>849</v>
      </c>
      <c r="E953" t="s">
        <v>850</v>
      </c>
      <c r="F953" t="s">
        <v>330</v>
      </c>
    </row>
    <row r="954" spans="1:6" x14ac:dyDescent="0.2">
      <c r="A954">
        <v>62066202</v>
      </c>
      <c r="B954">
        <v>2020</v>
      </c>
      <c r="C954">
        <v>23.041257556274001</v>
      </c>
      <c r="D954" t="s">
        <v>437</v>
      </c>
      <c r="E954" t="s">
        <v>438</v>
      </c>
      <c r="F954" t="s">
        <v>35</v>
      </c>
    </row>
    <row r="955" spans="1:6" x14ac:dyDescent="0.2">
      <c r="A955">
        <v>62066202</v>
      </c>
      <c r="B955">
        <v>2019</v>
      </c>
      <c r="C955">
        <v>34.189315314342998</v>
      </c>
      <c r="D955" t="s">
        <v>437</v>
      </c>
      <c r="E955" t="s">
        <v>438</v>
      </c>
      <c r="F955" t="s">
        <v>35</v>
      </c>
    </row>
    <row r="956" spans="1:6" x14ac:dyDescent="0.2">
      <c r="A956">
        <v>62066202</v>
      </c>
      <c r="B956">
        <v>2018</v>
      </c>
      <c r="C956">
        <v>37.648050169200197</v>
      </c>
      <c r="D956" t="s">
        <v>437</v>
      </c>
      <c r="E956" t="s">
        <v>438</v>
      </c>
      <c r="F956" t="s">
        <v>35</v>
      </c>
    </row>
    <row r="957" spans="1:6" x14ac:dyDescent="0.2">
      <c r="A957">
        <v>62066202</v>
      </c>
      <c r="B957">
        <v>2017</v>
      </c>
      <c r="C957">
        <v>34.942584535515699</v>
      </c>
      <c r="D957" t="s">
        <v>437</v>
      </c>
      <c r="E957" t="s">
        <v>438</v>
      </c>
      <c r="F957" t="s">
        <v>35</v>
      </c>
    </row>
    <row r="958" spans="1:6" x14ac:dyDescent="0.2">
      <c r="A958">
        <v>62066202</v>
      </c>
      <c r="B958">
        <v>2016</v>
      </c>
      <c r="C958">
        <v>22.9170869477507</v>
      </c>
      <c r="D958" t="s">
        <v>437</v>
      </c>
      <c r="E958" t="s">
        <v>438</v>
      </c>
      <c r="F958" t="s">
        <v>35</v>
      </c>
    </row>
    <row r="959" spans="1:6" x14ac:dyDescent="0.2">
      <c r="A959">
        <v>62066202</v>
      </c>
      <c r="B959">
        <v>2015</v>
      </c>
      <c r="C959">
        <v>26.3480199729925</v>
      </c>
      <c r="D959" t="s">
        <v>437</v>
      </c>
      <c r="E959" t="s">
        <v>438</v>
      </c>
      <c r="F959" t="s">
        <v>35</v>
      </c>
    </row>
    <row r="960" spans="1:6" x14ac:dyDescent="0.2">
      <c r="A960">
        <v>62066202</v>
      </c>
      <c r="B960">
        <v>2014</v>
      </c>
      <c r="C960">
        <v>34.268885815001603</v>
      </c>
      <c r="D960" t="s">
        <v>437</v>
      </c>
      <c r="E960" t="s">
        <v>438</v>
      </c>
      <c r="F960" t="s">
        <v>35</v>
      </c>
    </row>
    <row r="961" spans="1:6" x14ac:dyDescent="0.2">
      <c r="A961">
        <v>62066202</v>
      </c>
      <c r="B961">
        <v>2013</v>
      </c>
      <c r="C961">
        <v>39.135514018691602</v>
      </c>
      <c r="D961" t="s">
        <v>437</v>
      </c>
      <c r="E961" t="s">
        <v>438</v>
      </c>
      <c r="F961" t="s">
        <v>35</v>
      </c>
    </row>
    <row r="962" spans="1:6" x14ac:dyDescent="0.2">
      <c r="A962">
        <v>62066202</v>
      </c>
      <c r="B962">
        <v>2012</v>
      </c>
      <c r="C962">
        <v>24.630541871921199</v>
      </c>
      <c r="D962" t="s">
        <v>437</v>
      </c>
      <c r="E962" t="s">
        <v>438</v>
      </c>
      <c r="F962" t="s">
        <v>35</v>
      </c>
    </row>
    <row r="963" spans="1:6" x14ac:dyDescent="0.2">
      <c r="A963">
        <v>62066202</v>
      </c>
      <c r="B963">
        <v>2011</v>
      </c>
      <c r="C963">
        <v>45.569620253164601</v>
      </c>
      <c r="D963" t="s">
        <v>437</v>
      </c>
      <c r="E963" t="s">
        <v>438</v>
      </c>
      <c r="F963" t="s">
        <v>35</v>
      </c>
    </row>
    <row r="964" spans="1:6" x14ac:dyDescent="0.2">
      <c r="A964">
        <v>62066202</v>
      </c>
      <c r="B964">
        <v>2010</v>
      </c>
      <c r="C964">
        <v>24.725274725274701</v>
      </c>
      <c r="D964" t="s">
        <v>437</v>
      </c>
      <c r="E964" t="s">
        <v>438</v>
      </c>
      <c r="F964" t="s">
        <v>35</v>
      </c>
    </row>
    <row r="965" spans="1:6" x14ac:dyDescent="0.2">
      <c r="A965">
        <v>80370857</v>
      </c>
      <c r="B965">
        <v>2020</v>
      </c>
      <c r="C965">
        <v>65.3292</v>
      </c>
      <c r="D965" t="s">
        <v>574</v>
      </c>
      <c r="E965" t="s">
        <v>123</v>
      </c>
      <c r="F965" t="s">
        <v>1126</v>
      </c>
    </row>
    <row r="966" spans="1:6" x14ac:dyDescent="0.2">
      <c r="A966">
        <v>80370857</v>
      </c>
      <c r="B966">
        <v>2019</v>
      </c>
      <c r="C966">
        <v>65.499782608695696</v>
      </c>
      <c r="D966" t="s">
        <v>574</v>
      </c>
      <c r="E966" t="s">
        <v>123</v>
      </c>
      <c r="F966" t="s">
        <v>1126</v>
      </c>
    </row>
    <row r="967" spans="1:6" x14ac:dyDescent="0.2">
      <c r="A967">
        <v>80370857</v>
      </c>
      <c r="B967">
        <v>2018</v>
      </c>
      <c r="C967">
        <v>59.963050847457602</v>
      </c>
      <c r="D967" t="s">
        <v>574</v>
      </c>
      <c r="E967" t="s">
        <v>123</v>
      </c>
      <c r="F967" t="s">
        <v>1126</v>
      </c>
    </row>
    <row r="968" spans="1:6" x14ac:dyDescent="0.2">
      <c r="A968">
        <v>80370857</v>
      </c>
      <c r="B968">
        <v>2017</v>
      </c>
      <c r="C968">
        <v>53.771428571428601</v>
      </c>
      <c r="D968" t="s">
        <v>574</v>
      </c>
      <c r="E968" t="s">
        <v>123</v>
      </c>
      <c r="F968" t="s">
        <v>1126</v>
      </c>
    </row>
    <row r="969" spans="1:6" x14ac:dyDescent="0.2">
      <c r="A969">
        <v>80370857</v>
      </c>
      <c r="B969">
        <v>2016</v>
      </c>
      <c r="C969">
        <v>50.038571428571402</v>
      </c>
      <c r="D969" t="s">
        <v>574</v>
      </c>
      <c r="E969" t="s">
        <v>123</v>
      </c>
      <c r="F969" t="s">
        <v>1126</v>
      </c>
    </row>
    <row r="970" spans="1:6" x14ac:dyDescent="0.2">
      <c r="A970">
        <v>80370857</v>
      </c>
      <c r="B970">
        <v>2015</v>
      </c>
      <c r="C970">
        <v>45.148148148148103</v>
      </c>
      <c r="D970" t="s">
        <v>574</v>
      </c>
      <c r="E970" t="s">
        <v>123</v>
      </c>
      <c r="F970" t="s">
        <v>1126</v>
      </c>
    </row>
    <row r="971" spans="1:6" x14ac:dyDescent="0.2">
      <c r="A971">
        <v>80370857</v>
      </c>
      <c r="B971">
        <v>2014</v>
      </c>
      <c r="C971">
        <v>45</v>
      </c>
      <c r="D971" t="s">
        <v>574</v>
      </c>
      <c r="E971" t="s">
        <v>123</v>
      </c>
      <c r="F971" t="s">
        <v>1126</v>
      </c>
    </row>
    <row r="972" spans="1:6" x14ac:dyDescent="0.2">
      <c r="A972">
        <v>80370857</v>
      </c>
      <c r="B972">
        <v>2013</v>
      </c>
      <c r="C972">
        <v>63</v>
      </c>
      <c r="D972" t="s">
        <v>574</v>
      </c>
      <c r="E972" t="s">
        <v>123</v>
      </c>
      <c r="F972" t="s">
        <v>1126</v>
      </c>
    </row>
    <row r="973" spans="1:6" x14ac:dyDescent="0.2">
      <c r="A973">
        <v>80370857</v>
      </c>
      <c r="B973">
        <v>2012</v>
      </c>
      <c r="C973">
        <v>31</v>
      </c>
      <c r="D973" t="s">
        <v>574</v>
      </c>
      <c r="E973" t="s">
        <v>123</v>
      </c>
      <c r="F973" t="s">
        <v>1126</v>
      </c>
    </row>
    <row r="974" spans="1:6" x14ac:dyDescent="0.2">
      <c r="A974">
        <v>80370857</v>
      </c>
      <c r="B974">
        <v>2011</v>
      </c>
      <c r="C974">
        <v>56.6666666666667</v>
      </c>
      <c r="D974" t="s">
        <v>574</v>
      </c>
      <c r="E974" t="s">
        <v>123</v>
      </c>
      <c r="F974" t="s">
        <v>1126</v>
      </c>
    </row>
    <row r="975" spans="1:6" x14ac:dyDescent="0.2">
      <c r="A975">
        <v>80370857</v>
      </c>
      <c r="B975">
        <v>2010</v>
      </c>
      <c r="C975">
        <v>40</v>
      </c>
      <c r="D975" t="s">
        <v>574</v>
      </c>
      <c r="E975" t="s">
        <v>123</v>
      </c>
      <c r="F975" t="s">
        <v>1126</v>
      </c>
    </row>
    <row r="976" spans="1:6" x14ac:dyDescent="0.2">
      <c r="A976">
        <v>76885971</v>
      </c>
      <c r="B976">
        <v>2018</v>
      </c>
      <c r="C976">
        <v>72.665629655595495</v>
      </c>
      <c r="D976" t="s">
        <v>280</v>
      </c>
      <c r="E976" t="s">
        <v>281</v>
      </c>
      <c r="F976" t="s">
        <v>282</v>
      </c>
    </row>
    <row r="977" spans="1:6" x14ac:dyDescent="0.2">
      <c r="A977">
        <v>76885971</v>
      </c>
      <c r="B977">
        <v>2013</v>
      </c>
      <c r="C977">
        <v>85.560290799699203</v>
      </c>
      <c r="D977" t="s">
        <v>280</v>
      </c>
      <c r="E977" t="s">
        <v>281</v>
      </c>
      <c r="F977" t="s">
        <v>282</v>
      </c>
    </row>
    <row r="978" spans="1:6" x14ac:dyDescent="0.2">
      <c r="A978">
        <v>76885971</v>
      </c>
      <c r="B978">
        <v>2012</v>
      </c>
      <c r="C978">
        <v>19.197542714532499</v>
      </c>
      <c r="D978" t="s">
        <v>280</v>
      </c>
      <c r="E978" t="s">
        <v>281</v>
      </c>
      <c r="F978" t="s">
        <v>282</v>
      </c>
    </row>
    <row r="979" spans="1:6" x14ac:dyDescent="0.2">
      <c r="A979">
        <v>44703418</v>
      </c>
      <c r="B979">
        <v>2018</v>
      </c>
      <c r="C979">
        <v>52.2048579265456</v>
      </c>
      <c r="D979" t="s">
        <v>544</v>
      </c>
      <c r="E979" t="s">
        <v>545</v>
      </c>
      <c r="F979" t="s">
        <v>348</v>
      </c>
    </row>
    <row r="980" spans="1:6" x14ac:dyDescent="0.2">
      <c r="A980">
        <v>44703418</v>
      </c>
      <c r="B980">
        <v>2016</v>
      </c>
      <c r="C980">
        <v>58.370591157476397</v>
      </c>
      <c r="D980" t="s">
        <v>544</v>
      </c>
      <c r="E980" t="s">
        <v>545</v>
      </c>
      <c r="F980" t="s">
        <v>348</v>
      </c>
    </row>
    <row r="981" spans="1:6" x14ac:dyDescent="0.2">
      <c r="A981">
        <v>44703418</v>
      </c>
      <c r="B981">
        <v>2015</v>
      </c>
      <c r="C981">
        <v>47.912388774811802</v>
      </c>
      <c r="D981" t="s">
        <v>544</v>
      </c>
      <c r="E981" t="s">
        <v>545</v>
      </c>
      <c r="F981" t="s">
        <v>348</v>
      </c>
    </row>
    <row r="982" spans="1:6" x14ac:dyDescent="0.2">
      <c r="A982">
        <v>44703418</v>
      </c>
      <c r="B982">
        <v>2013</v>
      </c>
      <c r="C982">
        <v>99.358974358974294</v>
      </c>
      <c r="D982" t="s">
        <v>544</v>
      </c>
      <c r="E982" t="s">
        <v>545</v>
      </c>
      <c r="F982" t="s">
        <v>348</v>
      </c>
    </row>
    <row r="983" spans="1:6" x14ac:dyDescent="0.2">
      <c r="A983">
        <v>44703418</v>
      </c>
      <c r="B983">
        <v>2012</v>
      </c>
      <c r="C983">
        <v>70.550161812297702</v>
      </c>
      <c r="D983" t="s">
        <v>544</v>
      </c>
      <c r="E983" t="s">
        <v>545</v>
      </c>
      <c r="F983" t="s">
        <v>348</v>
      </c>
    </row>
    <row r="984" spans="1:6" x14ac:dyDescent="0.2">
      <c r="A984">
        <v>41989990</v>
      </c>
      <c r="B984">
        <v>2020</v>
      </c>
      <c r="C984">
        <v>61.656666666666702</v>
      </c>
      <c r="D984" t="s">
        <v>680</v>
      </c>
      <c r="E984" t="s">
        <v>681</v>
      </c>
      <c r="F984" t="s">
        <v>1126</v>
      </c>
    </row>
    <row r="985" spans="1:6" x14ac:dyDescent="0.2">
      <c r="A985">
        <v>41989990</v>
      </c>
      <c r="B985">
        <v>2019</v>
      </c>
      <c r="C985">
        <v>59.248750000000001</v>
      </c>
      <c r="D985" t="s">
        <v>680</v>
      </c>
      <c r="E985" t="s">
        <v>681</v>
      </c>
      <c r="F985" t="s">
        <v>1126</v>
      </c>
    </row>
    <row r="986" spans="1:6" x14ac:dyDescent="0.2">
      <c r="A986">
        <v>41989990</v>
      </c>
      <c r="B986">
        <v>2018</v>
      </c>
      <c r="C986">
        <v>62.141428571428598</v>
      </c>
      <c r="D986" t="s">
        <v>680</v>
      </c>
      <c r="E986" t="s">
        <v>681</v>
      </c>
      <c r="F986" t="s">
        <v>1126</v>
      </c>
    </row>
    <row r="987" spans="1:6" x14ac:dyDescent="0.2">
      <c r="A987">
        <v>41989990</v>
      </c>
      <c r="B987">
        <v>2017</v>
      </c>
      <c r="C987">
        <v>50.711428571428598</v>
      </c>
      <c r="D987" t="s">
        <v>680</v>
      </c>
      <c r="E987" t="s">
        <v>681</v>
      </c>
      <c r="F987" t="s">
        <v>1126</v>
      </c>
    </row>
    <row r="988" spans="1:6" x14ac:dyDescent="0.2">
      <c r="A988">
        <v>41989990</v>
      </c>
      <c r="B988">
        <v>2016</v>
      </c>
      <c r="C988">
        <v>56.75</v>
      </c>
      <c r="D988" t="s">
        <v>680</v>
      </c>
      <c r="E988" t="s">
        <v>681</v>
      </c>
      <c r="F988" t="s">
        <v>1126</v>
      </c>
    </row>
    <row r="989" spans="1:6" x14ac:dyDescent="0.2">
      <c r="A989">
        <v>64608415</v>
      </c>
      <c r="B989">
        <v>2020</v>
      </c>
      <c r="C989">
        <v>56.25</v>
      </c>
      <c r="D989" t="s">
        <v>1070</v>
      </c>
      <c r="E989" t="s">
        <v>494</v>
      </c>
      <c r="F989" t="s">
        <v>1126</v>
      </c>
    </row>
    <row r="990" spans="1:6" x14ac:dyDescent="0.2">
      <c r="A990">
        <v>64608415</v>
      </c>
      <c r="B990">
        <v>2019</v>
      </c>
      <c r="C990">
        <v>58</v>
      </c>
      <c r="D990" t="s">
        <v>1070</v>
      </c>
      <c r="E990" t="s">
        <v>494</v>
      </c>
      <c r="F990" t="s">
        <v>1126</v>
      </c>
    </row>
    <row r="991" spans="1:6" x14ac:dyDescent="0.2">
      <c r="A991">
        <v>64608415</v>
      </c>
      <c r="B991">
        <v>2018</v>
      </c>
      <c r="C991">
        <v>80.33</v>
      </c>
      <c r="D991" t="s">
        <v>1070</v>
      </c>
      <c r="E991" t="s">
        <v>494</v>
      </c>
      <c r="F991" t="s">
        <v>1126</v>
      </c>
    </row>
    <row r="992" spans="1:6" x14ac:dyDescent="0.2">
      <c r="A992">
        <v>55952751</v>
      </c>
      <c r="B992">
        <v>2020</v>
      </c>
      <c r="C992">
        <v>12.655878179373399</v>
      </c>
      <c r="D992" t="s">
        <v>874</v>
      </c>
      <c r="E992" t="s">
        <v>875</v>
      </c>
      <c r="F992" t="s">
        <v>244</v>
      </c>
    </row>
    <row r="993" spans="1:6" x14ac:dyDescent="0.2">
      <c r="A993">
        <v>55952751</v>
      </c>
      <c r="B993">
        <v>2019</v>
      </c>
      <c r="C993">
        <v>16.6282826893991</v>
      </c>
      <c r="D993" t="s">
        <v>874</v>
      </c>
      <c r="E993" t="s">
        <v>875</v>
      </c>
      <c r="F993" t="s">
        <v>244</v>
      </c>
    </row>
    <row r="994" spans="1:6" x14ac:dyDescent="0.2">
      <c r="A994">
        <v>55952751</v>
      </c>
      <c r="B994">
        <v>2018</v>
      </c>
      <c r="C994">
        <v>13.4262977294298</v>
      </c>
      <c r="D994" t="s">
        <v>874</v>
      </c>
      <c r="E994" t="s">
        <v>875</v>
      </c>
      <c r="F994" t="s">
        <v>244</v>
      </c>
    </row>
    <row r="995" spans="1:6" x14ac:dyDescent="0.2">
      <c r="A995">
        <v>55952751</v>
      </c>
      <c r="B995">
        <v>2017</v>
      </c>
      <c r="C995">
        <v>13.010408326661301</v>
      </c>
      <c r="D995" t="s">
        <v>874</v>
      </c>
      <c r="E995" t="s">
        <v>875</v>
      </c>
      <c r="F995" t="s">
        <v>244</v>
      </c>
    </row>
    <row r="996" spans="1:6" x14ac:dyDescent="0.2">
      <c r="A996">
        <v>55952751</v>
      </c>
      <c r="B996">
        <v>2016</v>
      </c>
      <c r="C996">
        <v>11.513582921007</v>
      </c>
      <c r="D996" t="s">
        <v>874</v>
      </c>
      <c r="E996" t="s">
        <v>875</v>
      </c>
      <c r="F996" t="s">
        <v>244</v>
      </c>
    </row>
    <row r="997" spans="1:6" x14ac:dyDescent="0.2">
      <c r="A997">
        <v>55952751</v>
      </c>
      <c r="B997">
        <v>2015</v>
      </c>
      <c r="C997">
        <v>13.0899313663058</v>
      </c>
      <c r="D997" t="s">
        <v>874</v>
      </c>
      <c r="E997" t="s">
        <v>875</v>
      </c>
      <c r="F997" t="s">
        <v>244</v>
      </c>
    </row>
    <row r="998" spans="1:6" x14ac:dyDescent="0.2">
      <c r="A998">
        <v>59553831</v>
      </c>
      <c r="B998">
        <v>2020</v>
      </c>
      <c r="C998">
        <v>10.774375190544699</v>
      </c>
      <c r="D998" t="s">
        <v>162</v>
      </c>
      <c r="E998"/>
      <c r="F998" t="s">
        <v>137</v>
      </c>
    </row>
    <row r="999" spans="1:6" x14ac:dyDescent="0.2">
      <c r="A999">
        <v>59553831</v>
      </c>
      <c r="B999">
        <v>2019</v>
      </c>
      <c r="C999">
        <v>11.423171312966099</v>
      </c>
      <c r="D999" t="s">
        <v>162</v>
      </c>
      <c r="E999"/>
      <c r="F999" t="s">
        <v>137</v>
      </c>
    </row>
    <row r="1000" spans="1:6" x14ac:dyDescent="0.2">
      <c r="A1000">
        <v>59553831</v>
      </c>
      <c r="B1000">
        <v>2018</v>
      </c>
      <c r="C1000">
        <v>13.2887903793373</v>
      </c>
      <c r="D1000" t="s">
        <v>162</v>
      </c>
      <c r="E1000"/>
      <c r="F1000" t="s">
        <v>137</v>
      </c>
    </row>
    <row r="1001" spans="1:6" x14ac:dyDescent="0.2">
      <c r="A1001">
        <v>59553831</v>
      </c>
      <c r="B1001">
        <v>2017</v>
      </c>
      <c r="C1001">
        <v>17.491263764424499</v>
      </c>
      <c r="D1001" t="s">
        <v>162</v>
      </c>
      <c r="E1001"/>
      <c r="F1001" t="s">
        <v>137</v>
      </c>
    </row>
    <row r="1002" spans="1:6" x14ac:dyDescent="0.2">
      <c r="A1002">
        <v>59553831</v>
      </c>
      <c r="B1002">
        <v>2016</v>
      </c>
      <c r="C1002">
        <v>22.0581030386832</v>
      </c>
      <c r="D1002" t="s">
        <v>162</v>
      </c>
      <c r="E1002"/>
      <c r="F1002" t="s">
        <v>137</v>
      </c>
    </row>
    <row r="1003" spans="1:6" x14ac:dyDescent="0.2">
      <c r="A1003">
        <v>59553831</v>
      </c>
      <c r="B1003">
        <v>2015</v>
      </c>
      <c r="C1003">
        <v>24.3918946871975</v>
      </c>
      <c r="D1003" t="s">
        <v>162</v>
      </c>
      <c r="E1003"/>
      <c r="F1003" t="s">
        <v>137</v>
      </c>
    </row>
    <row r="1004" spans="1:6" x14ac:dyDescent="0.2">
      <c r="A1004">
        <v>59553831</v>
      </c>
      <c r="B1004">
        <v>2014</v>
      </c>
      <c r="C1004">
        <v>25.190205762523401</v>
      </c>
      <c r="D1004" t="s">
        <v>162</v>
      </c>
      <c r="E1004"/>
      <c r="F1004" t="s">
        <v>137</v>
      </c>
    </row>
    <row r="1005" spans="1:6" x14ac:dyDescent="0.2">
      <c r="A1005">
        <v>59553831</v>
      </c>
      <c r="B1005">
        <v>2013</v>
      </c>
      <c r="C1005">
        <v>22.9166666666667</v>
      </c>
      <c r="D1005" t="s">
        <v>162</v>
      </c>
      <c r="E1005"/>
      <c r="F1005" t="s">
        <v>137</v>
      </c>
    </row>
    <row r="1006" spans="1:6" x14ac:dyDescent="0.2">
      <c r="A1006">
        <v>59553831</v>
      </c>
      <c r="B1006">
        <v>2012</v>
      </c>
      <c r="C1006">
        <v>23.292685724774</v>
      </c>
      <c r="D1006" t="s">
        <v>162</v>
      </c>
      <c r="E1006"/>
      <c r="F1006" t="s">
        <v>137</v>
      </c>
    </row>
    <row r="1007" spans="1:6" x14ac:dyDescent="0.2">
      <c r="A1007">
        <v>59553831</v>
      </c>
      <c r="B1007">
        <v>2011</v>
      </c>
      <c r="C1007">
        <v>22.3494958481613</v>
      </c>
      <c r="D1007" t="s">
        <v>162</v>
      </c>
      <c r="E1007"/>
      <c r="F1007" t="s">
        <v>137</v>
      </c>
    </row>
    <row r="1008" spans="1:6" x14ac:dyDescent="0.2">
      <c r="A1008">
        <v>59553831</v>
      </c>
      <c r="B1008">
        <v>2010</v>
      </c>
      <c r="C1008">
        <v>20.222174288179499</v>
      </c>
      <c r="D1008" t="s">
        <v>162</v>
      </c>
      <c r="E1008"/>
      <c r="F1008" t="s">
        <v>137</v>
      </c>
    </row>
    <row r="1009" spans="1:6" x14ac:dyDescent="0.2">
      <c r="A1009">
        <v>77131464</v>
      </c>
      <c r="B1009">
        <v>2020</v>
      </c>
      <c r="C1009">
        <v>62.755757575757599</v>
      </c>
      <c r="D1009" t="s">
        <v>569</v>
      </c>
      <c r="E1009" t="s">
        <v>570</v>
      </c>
      <c r="F1009" t="s">
        <v>1126</v>
      </c>
    </row>
    <row r="1010" spans="1:6" x14ac:dyDescent="0.2">
      <c r="A1010">
        <v>77131464</v>
      </c>
      <c r="B1010">
        <v>2019</v>
      </c>
      <c r="C1010">
        <v>56.285476190476203</v>
      </c>
      <c r="D1010" t="s">
        <v>569</v>
      </c>
      <c r="E1010" t="s">
        <v>570</v>
      </c>
      <c r="F1010" t="s">
        <v>1126</v>
      </c>
    </row>
    <row r="1011" spans="1:6" x14ac:dyDescent="0.2">
      <c r="A1011">
        <v>77131464</v>
      </c>
      <c r="B1011">
        <v>2018</v>
      </c>
      <c r="C1011">
        <v>63.469411764705903</v>
      </c>
      <c r="D1011" t="s">
        <v>569</v>
      </c>
      <c r="E1011" t="s">
        <v>570</v>
      </c>
      <c r="F1011" t="s">
        <v>1126</v>
      </c>
    </row>
    <row r="1012" spans="1:6" x14ac:dyDescent="0.2">
      <c r="A1012">
        <v>77131464</v>
      </c>
      <c r="B1012">
        <v>2017</v>
      </c>
      <c r="C1012">
        <v>63.5708571428572</v>
      </c>
      <c r="D1012" t="s">
        <v>569</v>
      </c>
      <c r="E1012" t="s">
        <v>570</v>
      </c>
      <c r="F1012" t="s">
        <v>1126</v>
      </c>
    </row>
    <row r="1013" spans="1:6" x14ac:dyDescent="0.2">
      <c r="A1013">
        <v>77131464</v>
      </c>
      <c r="B1013">
        <v>2016</v>
      </c>
      <c r="C1013">
        <v>55.045576923076901</v>
      </c>
      <c r="D1013" t="s">
        <v>569</v>
      </c>
      <c r="E1013" t="s">
        <v>570</v>
      </c>
      <c r="F1013" t="s">
        <v>1126</v>
      </c>
    </row>
    <row r="1014" spans="1:6" x14ac:dyDescent="0.2">
      <c r="A1014">
        <v>77131464</v>
      </c>
      <c r="B1014">
        <v>2015</v>
      </c>
      <c r="C1014">
        <v>51.545151515151503</v>
      </c>
      <c r="D1014" t="s">
        <v>569</v>
      </c>
      <c r="E1014" t="s">
        <v>570</v>
      </c>
      <c r="F1014" t="s">
        <v>1126</v>
      </c>
    </row>
    <row r="1015" spans="1:6" x14ac:dyDescent="0.2">
      <c r="A1015">
        <v>77131464</v>
      </c>
      <c r="B1015">
        <v>2014</v>
      </c>
      <c r="C1015">
        <v>37.952500000000001</v>
      </c>
      <c r="D1015" t="s">
        <v>569</v>
      </c>
      <c r="E1015" t="s">
        <v>570</v>
      </c>
      <c r="F1015" t="s">
        <v>1126</v>
      </c>
    </row>
    <row r="1016" spans="1:6" x14ac:dyDescent="0.2">
      <c r="A1016">
        <v>77131464</v>
      </c>
      <c r="B1016">
        <v>2013</v>
      </c>
      <c r="C1016">
        <v>52.373750000000001</v>
      </c>
      <c r="D1016" t="s">
        <v>569</v>
      </c>
      <c r="E1016" t="s">
        <v>570</v>
      </c>
      <c r="F1016" t="s">
        <v>1126</v>
      </c>
    </row>
    <row r="1017" spans="1:6" x14ac:dyDescent="0.2">
      <c r="A1017">
        <v>77131464</v>
      </c>
      <c r="B1017">
        <v>2012</v>
      </c>
      <c r="C1017">
        <v>37</v>
      </c>
      <c r="D1017" t="s">
        <v>569</v>
      </c>
      <c r="E1017" t="s">
        <v>570</v>
      </c>
      <c r="F1017" t="s">
        <v>1126</v>
      </c>
    </row>
    <row r="1018" spans="1:6" x14ac:dyDescent="0.2">
      <c r="A1018">
        <v>77131464</v>
      </c>
      <c r="B1018">
        <v>2011</v>
      </c>
      <c r="C1018">
        <v>45</v>
      </c>
      <c r="D1018" t="s">
        <v>569</v>
      </c>
      <c r="E1018" t="s">
        <v>570</v>
      </c>
      <c r="F1018" t="s">
        <v>1126</v>
      </c>
    </row>
    <row r="1019" spans="1:6" x14ac:dyDescent="0.2">
      <c r="A1019">
        <v>77131464</v>
      </c>
      <c r="B1019">
        <v>2010</v>
      </c>
      <c r="C1019">
        <v>41.6666666666667</v>
      </c>
      <c r="D1019" t="s">
        <v>569</v>
      </c>
      <c r="E1019" t="s">
        <v>570</v>
      </c>
      <c r="F1019" t="s">
        <v>1126</v>
      </c>
    </row>
    <row r="1020" spans="1:6" x14ac:dyDescent="0.2">
      <c r="A1020">
        <v>42762276</v>
      </c>
      <c r="B1020">
        <v>2019</v>
      </c>
      <c r="C1020">
        <v>37.9170879676441</v>
      </c>
      <c r="D1020" t="s">
        <v>780</v>
      </c>
      <c r="E1020" t="s">
        <v>18</v>
      </c>
      <c r="F1020" t="s">
        <v>19</v>
      </c>
    </row>
    <row r="1021" spans="1:6" x14ac:dyDescent="0.2">
      <c r="A1021">
        <v>42762276</v>
      </c>
      <c r="B1021">
        <v>2017</v>
      </c>
      <c r="C1021">
        <v>33.893985728848101</v>
      </c>
      <c r="D1021" t="s">
        <v>780</v>
      </c>
      <c r="E1021" t="s">
        <v>18</v>
      </c>
      <c r="F1021" t="s">
        <v>19</v>
      </c>
    </row>
    <row r="1022" spans="1:6" x14ac:dyDescent="0.2">
      <c r="A1022">
        <v>42762276</v>
      </c>
      <c r="B1022">
        <v>2016</v>
      </c>
      <c r="C1022">
        <v>25.622361333527401</v>
      </c>
      <c r="D1022" t="s">
        <v>780</v>
      </c>
      <c r="E1022" t="s">
        <v>18</v>
      </c>
      <c r="F1022" t="s">
        <v>19</v>
      </c>
    </row>
    <row r="1023" spans="1:6" x14ac:dyDescent="0.2">
      <c r="A1023">
        <v>36625679</v>
      </c>
      <c r="B1023">
        <v>2020</v>
      </c>
      <c r="C1023">
        <v>81.994</v>
      </c>
      <c r="D1023" t="s">
        <v>735</v>
      </c>
      <c r="E1023" t="s">
        <v>736</v>
      </c>
      <c r="F1023" t="s">
        <v>1126</v>
      </c>
    </row>
    <row r="1024" spans="1:6" x14ac:dyDescent="0.2">
      <c r="A1024">
        <v>36625679</v>
      </c>
      <c r="B1024">
        <v>2019</v>
      </c>
      <c r="C1024">
        <v>70</v>
      </c>
      <c r="D1024" t="s">
        <v>735</v>
      </c>
      <c r="E1024" t="s">
        <v>736</v>
      </c>
      <c r="F1024" t="s">
        <v>1126</v>
      </c>
    </row>
    <row r="1025" spans="1:6" x14ac:dyDescent="0.2">
      <c r="A1025">
        <v>36625679</v>
      </c>
      <c r="B1025">
        <v>2018</v>
      </c>
      <c r="C1025">
        <v>62.8</v>
      </c>
      <c r="D1025" t="s">
        <v>735</v>
      </c>
      <c r="E1025" t="s">
        <v>736</v>
      </c>
      <c r="F1025" t="s">
        <v>1126</v>
      </c>
    </row>
    <row r="1026" spans="1:6" x14ac:dyDescent="0.2">
      <c r="A1026">
        <v>36625679</v>
      </c>
      <c r="B1026">
        <v>2017</v>
      </c>
      <c r="C1026">
        <v>66.5</v>
      </c>
      <c r="D1026" t="s">
        <v>735</v>
      </c>
      <c r="E1026" t="s">
        <v>736</v>
      </c>
      <c r="F1026" t="s">
        <v>1126</v>
      </c>
    </row>
    <row r="1027" spans="1:6" x14ac:dyDescent="0.2">
      <c r="A1027">
        <v>36625679</v>
      </c>
      <c r="B1027">
        <v>2016</v>
      </c>
      <c r="C1027">
        <v>45.15</v>
      </c>
      <c r="D1027" t="s">
        <v>735</v>
      </c>
      <c r="E1027" t="s">
        <v>736</v>
      </c>
      <c r="F1027" t="s">
        <v>1126</v>
      </c>
    </row>
    <row r="1028" spans="1:6" x14ac:dyDescent="0.2">
      <c r="A1028">
        <v>36625679</v>
      </c>
      <c r="B1028">
        <v>2015</v>
      </c>
      <c r="C1028">
        <v>39.801250000000003</v>
      </c>
      <c r="D1028" t="s">
        <v>735</v>
      </c>
      <c r="E1028" t="s">
        <v>736</v>
      </c>
      <c r="F1028" t="s">
        <v>1126</v>
      </c>
    </row>
    <row r="1029" spans="1:6" x14ac:dyDescent="0.2">
      <c r="A1029">
        <v>62552867</v>
      </c>
      <c r="B1029">
        <v>2020</v>
      </c>
      <c r="C1029">
        <v>75</v>
      </c>
      <c r="D1029" t="s">
        <v>556</v>
      </c>
      <c r="E1029" t="s">
        <v>557</v>
      </c>
      <c r="F1029" t="s">
        <v>1126</v>
      </c>
    </row>
    <row r="1030" spans="1:6" x14ac:dyDescent="0.2">
      <c r="A1030">
        <v>62552867</v>
      </c>
      <c r="B1030">
        <v>2019</v>
      </c>
      <c r="C1030">
        <v>51.909090909090899</v>
      </c>
      <c r="D1030" t="s">
        <v>556</v>
      </c>
      <c r="E1030" t="s">
        <v>557</v>
      </c>
      <c r="F1030" t="s">
        <v>1126</v>
      </c>
    </row>
    <row r="1031" spans="1:6" x14ac:dyDescent="0.2">
      <c r="A1031">
        <v>62552867</v>
      </c>
      <c r="B1031">
        <v>2018</v>
      </c>
      <c r="C1031">
        <v>59</v>
      </c>
      <c r="D1031" t="s">
        <v>556</v>
      </c>
      <c r="E1031" t="s">
        <v>557</v>
      </c>
      <c r="F1031" t="s">
        <v>1126</v>
      </c>
    </row>
    <row r="1032" spans="1:6" x14ac:dyDescent="0.2">
      <c r="A1032">
        <v>62552867</v>
      </c>
      <c r="B1032">
        <v>2017</v>
      </c>
      <c r="C1032">
        <v>54.998888888888899</v>
      </c>
      <c r="D1032" t="s">
        <v>556</v>
      </c>
      <c r="E1032" t="s">
        <v>557</v>
      </c>
      <c r="F1032" t="s">
        <v>1126</v>
      </c>
    </row>
    <row r="1033" spans="1:6" x14ac:dyDescent="0.2">
      <c r="A1033">
        <v>62552867</v>
      </c>
      <c r="B1033">
        <v>2016</v>
      </c>
      <c r="C1033">
        <v>54.6666666666667</v>
      </c>
      <c r="D1033" t="s">
        <v>556</v>
      </c>
      <c r="E1033" t="s">
        <v>557</v>
      </c>
      <c r="F1033" t="s">
        <v>1126</v>
      </c>
    </row>
    <row r="1034" spans="1:6" x14ac:dyDescent="0.2">
      <c r="A1034">
        <v>62552867</v>
      </c>
      <c r="B1034">
        <v>2015</v>
      </c>
      <c r="C1034">
        <v>50.4444444444444</v>
      </c>
      <c r="D1034" t="s">
        <v>556</v>
      </c>
      <c r="E1034" t="s">
        <v>557</v>
      </c>
      <c r="F1034" t="s">
        <v>1126</v>
      </c>
    </row>
    <row r="1035" spans="1:6" x14ac:dyDescent="0.2">
      <c r="A1035">
        <v>62552867</v>
      </c>
      <c r="B1035">
        <v>2014</v>
      </c>
      <c r="C1035">
        <v>41.247999999999998</v>
      </c>
      <c r="D1035" t="s">
        <v>556</v>
      </c>
      <c r="E1035" t="s">
        <v>557</v>
      </c>
      <c r="F1035" t="s">
        <v>1126</v>
      </c>
    </row>
    <row r="1036" spans="1:6" x14ac:dyDescent="0.2">
      <c r="A1036">
        <v>62552867</v>
      </c>
      <c r="B1036">
        <v>2013</v>
      </c>
      <c r="C1036">
        <v>47.49</v>
      </c>
      <c r="D1036" t="s">
        <v>556</v>
      </c>
      <c r="E1036" t="s">
        <v>557</v>
      </c>
      <c r="F1036" t="s">
        <v>1126</v>
      </c>
    </row>
    <row r="1037" spans="1:6" x14ac:dyDescent="0.2">
      <c r="A1037">
        <v>62552867</v>
      </c>
      <c r="B1037">
        <v>2012</v>
      </c>
      <c r="C1037">
        <v>45</v>
      </c>
      <c r="D1037" t="s">
        <v>556</v>
      </c>
      <c r="E1037" t="s">
        <v>557</v>
      </c>
      <c r="F1037" t="s">
        <v>1126</v>
      </c>
    </row>
    <row r="1038" spans="1:6" x14ac:dyDescent="0.2">
      <c r="A1038">
        <v>62552867</v>
      </c>
      <c r="B1038">
        <v>2011</v>
      </c>
      <c r="C1038">
        <v>32.5</v>
      </c>
      <c r="D1038" t="s">
        <v>556</v>
      </c>
      <c r="E1038" t="s">
        <v>557</v>
      </c>
      <c r="F1038" t="s">
        <v>1126</v>
      </c>
    </row>
    <row r="1039" spans="1:6" x14ac:dyDescent="0.2">
      <c r="A1039">
        <v>62552867</v>
      </c>
      <c r="B1039">
        <v>2010</v>
      </c>
      <c r="C1039">
        <v>35</v>
      </c>
      <c r="D1039" t="s">
        <v>556</v>
      </c>
      <c r="E1039" t="s">
        <v>557</v>
      </c>
      <c r="F1039" t="s">
        <v>1126</v>
      </c>
    </row>
    <row r="1040" spans="1:6" x14ac:dyDescent="0.2">
      <c r="A1040">
        <v>28312515</v>
      </c>
      <c r="B1040">
        <v>2020</v>
      </c>
      <c r="C1040">
        <v>28.589150511358</v>
      </c>
      <c r="D1040" t="s">
        <v>163</v>
      </c>
      <c r="E1040" t="s">
        <v>164</v>
      </c>
      <c r="F1040" t="s">
        <v>165</v>
      </c>
    </row>
    <row r="1041" spans="1:6" x14ac:dyDescent="0.2">
      <c r="A1041">
        <v>28312515</v>
      </c>
      <c r="B1041">
        <v>2019</v>
      </c>
      <c r="C1041">
        <v>27.9111731254132</v>
      </c>
      <c r="D1041" t="s">
        <v>163</v>
      </c>
      <c r="E1041" t="s">
        <v>164</v>
      </c>
      <c r="F1041" t="s">
        <v>165</v>
      </c>
    </row>
    <row r="1042" spans="1:6" x14ac:dyDescent="0.2">
      <c r="A1042">
        <v>28312515</v>
      </c>
      <c r="B1042">
        <v>2018</v>
      </c>
      <c r="C1042">
        <v>27.991546917157901</v>
      </c>
      <c r="D1042" t="s">
        <v>163</v>
      </c>
      <c r="E1042" t="s">
        <v>164</v>
      </c>
      <c r="F1042" t="s">
        <v>165</v>
      </c>
    </row>
    <row r="1043" spans="1:6" x14ac:dyDescent="0.2">
      <c r="A1043">
        <v>28312515</v>
      </c>
      <c r="B1043">
        <v>2017</v>
      </c>
      <c r="C1043">
        <v>21.007888331931301</v>
      </c>
      <c r="D1043" t="s">
        <v>163</v>
      </c>
      <c r="E1043" t="s">
        <v>164</v>
      </c>
      <c r="F1043" t="s">
        <v>165</v>
      </c>
    </row>
    <row r="1044" spans="1:6" x14ac:dyDescent="0.2">
      <c r="A1044">
        <v>28312515</v>
      </c>
      <c r="B1044">
        <v>2016</v>
      </c>
      <c r="C1044">
        <v>39.450970860235202</v>
      </c>
      <c r="D1044" t="s">
        <v>163</v>
      </c>
      <c r="E1044" t="s">
        <v>164</v>
      </c>
      <c r="F1044" t="s">
        <v>165</v>
      </c>
    </row>
    <row r="1045" spans="1:6" x14ac:dyDescent="0.2">
      <c r="A1045">
        <v>28312515</v>
      </c>
      <c r="B1045">
        <v>2015</v>
      </c>
      <c r="C1045">
        <v>47.745012705601098</v>
      </c>
      <c r="D1045" t="s">
        <v>163</v>
      </c>
      <c r="E1045" t="s">
        <v>164</v>
      </c>
      <c r="F1045" t="s">
        <v>165</v>
      </c>
    </row>
    <row r="1046" spans="1:6" x14ac:dyDescent="0.2">
      <c r="A1046">
        <v>28312515</v>
      </c>
      <c r="B1046">
        <v>2014</v>
      </c>
      <c r="C1046">
        <v>40.860215053763397</v>
      </c>
      <c r="D1046" t="s">
        <v>163</v>
      </c>
      <c r="E1046" t="s">
        <v>164</v>
      </c>
      <c r="F1046" t="s">
        <v>165</v>
      </c>
    </row>
    <row r="1047" spans="1:6" x14ac:dyDescent="0.2">
      <c r="A1047">
        <v>28312515</v>
      </c>
      <c r="B1047">
        <v>2013</v>
      </c>
      <c r="C1047">
        <v>40.591855440617998</v>
      </c>
      <c r="D1047" t="s">
        <v>163</v>
      </c>
      <c r="E1047" t="s">
        <v>164</v>
      </c>
      <c r="F1047" t="s">
        <v>165</v>
      </c>
    </row>
    <row r="1048" spans="1:6" x14ac:dyDescent="0.2">
      <c r="A1048">
        <v>28312515</v>
      </c>
      <c r="B1048">
        <v>2012</v>
      </c>
      <c r="C1048">
        <v>37.965530068195903</v>
      </c>
      <c r="D1048" t="s">
        <v>163</v>
      </c>
      <c r="E1048" t="s">
        <v>164</v>
      </c>
      <c r="F1048" t="s">
        <v>165</v>
      </c>
    </row>
    <row r="1049" spans="1:6" x14ac:dyDescent="0.2">
      <c r="A1049">
        <v>28312515</v>
      </c>
      <c r="B1049">
        <v>2011</v>
      </c>
      <c r="C1049">
        <v>30</v>
      </c>
      <c r="D1049" t="s">
        <v>163</v>
      </c>
      <c r="E1049" t="s">
        <v>164</v>
      </c>
      <c r="F1049" t="s">
        <v>165</v>
      </c>
    </row>
    <row r="1050" spans="1:6" x14ac:dyDescent="0.2">
      <c r="A1050">
        <v>96812934</v>
      </c>
      <c r="B1050">
        <v>2020</v>
      </c>
      <c r="C1050">
        <v>5.3431407640789699</v>
      </c>
      <c r="D1050" t="s">
        <v>802</v>
      </c>
      <c r="E1050" t="s">
        <v>803</v>
      </c>
      <c r="F1050" t="s">
        <v>268</v>
      </c>
    </row>
    <row r="1051" spans="1:6" x14ac:dyDescent="0.2">
      <c r="A1051">
        <v>96812934</v>
      </c>
      <c r="B1051">
        <v>2019</v>
      </c>
      <c r="C1051">
        <v>5.0224042600564101</v>
      </c>
      <c r="D1051" t="s">
        <v>802</v>
      </c>
      <c r="E1051" t="s">
        <v>803</v>
      </c>
      <c r="F1051" t="s">
        <v>268</v>
      </c>
    </row>
    <row r="1052" spans="1:6" x14ac:dyDescent="0.2">
      <c r="A1052">
        <v>96812934</v>
      </c>
      <c r="B1052">
        <v>2018</v>
      </c>
      <c r="C1052">
        <v>4.7109238151452901</v>
      </c>
      <c r="D1052" t="s">
        <v>802</v>
      </c>
      <c r="E1052" t="s">
        <v>803</v>
      </c>
      <c r="F1052" t="s">
        <v>268</v>
      </c>
    </row>
    <row r="1053" spans="1:6" x14ac:dyDescent="0.2">
      <c r="A1053">
        <v>96812934</v>
      </c>
      <c r="B1053">
        <v>2017</v>
      </c>
      <c r="C1053">
        <v>4.2258266904067101</v>
      </c>
      <c r="D1053" t="s">
        <v>802</v>
      </c>
      <c r="E1053" t="s">
        <v>803</v>
      </c>
      <c r="F1053" t="s">
        <v>268</v>
      </c>
    </row>
    <row r="1054" spans="1:6" x14ac:dyDescent="0.2">
      <c r="A1054">
        <v>96812934</v>
      </c>
      <c r="B1054">
        <v>2016</v>
      </c>
      <c r="C1054">
        <v>3.5329182780512198</v>
      </c>
      <c r="D1054" t="s">
        <v>802</v>
      </c>
      <c r="E1054" t="s">
        <v>803</v>
      </c>
      <c r="F1054" t="s">
        <v>268</v>
      </c>
    </row>
    <row r="1055" spans="1:6" x14ac:dyDescent="0.2">
      <c r="A1055">
        <v>96812934</v>
      </c>
      <c r="B1055">
        <v>2015</v>
      </c>
      <c r="C1055">
        <v>3.7661699105458899</v>
      </c>
      <c r="D1055" t="s">
        <v>802</v>
      </c>
      <c r="E1055" t="s">
        <v>803</v>
      </c>
      <c r="F1055" t="s">
        <v>268</v>
      </c>
    </row>
    <row r="1056" spans="1:6" x14ac:dyDescent="0.2">
      <c r="A1056">
        <v>96812934</v>
      </c>
      <c r="B1056">
        <v>2014</v>
      </c>
      <c r="C1056">
        <v>4.0324146186170902</v>
      </c>
      <c r="D1056" t="s">
        <v>802</v>
      </c>
      <c r="E1056" t="s">
        <v>803</v>
      </c>
      <c r="F1056" t="s">
        <v>268</v>
      </c>
    </row>
    <row r="1057" spans="1:6" x14ac:dyDescent="0.2">
      <c r="A1057">
        <v>96812934</v>
      </c>
      <c r="B1057">
        <v>2013</v>
      </c>
      <c r="C1057">
        <v>7.2139303482587103</v>
      </c>
      <c r="D1057" t="s">
        <v>802</v>
      </c>
      <c r="E1057" t="s">
        <v>803</v>
      </c>
      <c r="F1057" t="s">
        <v>268</v>
      </c>
    </row>
    <row r="1058" spans="1:6" x14ac:dyDescent="0.2">
      <c r="A1058">
        <v>85035980</v>
      </c>
      <c r="B1058">
        <v>2020</v>
      </c>
      <c r="C1058">
        <v>84.918709823669005</v>
      </c>
      <c r="D1058" t="s">
        <v>409</v>
      </c>
      <c r="E1058" t="s">
        <v>410</v>
      </c>
      <c r="F1058" t="s">
        <v>411</v>
      </c>
    </row>
    <row r="1059" spans="1:6" x14ac:dyDescent="0.2">
      <c r="A1059">
        <v>85035980</v>
      </c>
      <c r="B1059">
        <v>2019</v>
      </c>
      <c r="C1059">
        <v>89.586459794774996</v>
      </c>
      <c r="D1059" t="s">
        <v>409</v>
      </c>
      <c r="E1059" t="s">
        <v>410</v>
      </c>
      <c r="F1059" t="s">
        <v>411</v>
      </c>
    </row>
    <row r="1060" spans="1:6" x14ac:dyDescent="0.2">
      <c r="A1060">
        <v>85035980</v>
      </c>
      <c r="B1060">
        <v>2018</v>
      </c>
      <c r="C1060">
        <v>84.780990052455394</v>
      </c>
      <c r="D1060" t="s">
        <v>409</v>
      </c>
      <c r="E1060" t="s">
        <v>410</v>
      </c>
      <c r="F1060" t="s">
        <v>411</v>
      </c>
    </row>
    <row r="1061" spans="1:6" x14ac:dyDescent="0.2">
      <c r="A1061">
        <v>85035980</v>
      </c>
      <c r="B1061">
        <v>2017</v>
      </c>
      <c r="C1061">
        <v>71.530662919023598</v>
      </c>
      <c r="D1061" t="s">
        <v>409</v>
      </c>
      <c r="E1061" t="s">
        <v>410</v>
      </c>
      <c r="F1061" t="s">
        <v>411</v>
      </c>
    </row>
    <row r="1062" spans="1:6" x14ac:dyDescent="0.2">
      <c r="A1062">
        <v>85035980</v>
      </c>
      <c r="B1062">
        <v>2016</v>
      </c>
      <c r="C1062">
        <v>70.040876589014701</v>
      </c>
      <c r="D1062" t="s">
        <v>409</v>
      </c>
      <c r="E1062" t="s">
        <v>410</v>
      </c>
      <c r="F1062" t="s">
        <v>411</v>
      </c>
    </row>
    <row r="1063" spans="1:6" x14ac:dyDescent="0.2">
      <c r="A1063">
        <v>85035980</v>
      </c>
      <c r="B1063">
        <v>2015</v>
      </c>
      <c r="C1063">
        <v>72.042863030636099</v>
      </c>
      <c r="D1063" t="s">
        <v>409</v>
      </c>
      <c r="E1063" t="s">
        <v>410</v>
      </c>
      <c r="F1063" t="s">
        <v>411</v>
      </c>
    </row>
    <row r="1064" spans="1:6" x14ac:dyDescent="0.2">
      <c r="A1064">
        <v>85035980</v>
      </c>
      <c r="B1064">
        <v>2014</v>
      </c>
      <c r="C1064">
        <v>85.020465346262696</v>
      </c>
      <c r="D1064" t="s">
        <v>409</v>
      </c>
      <c r="E1064" t="s">
        <v>410</v>
      </c>
      <c r="F1064" t="s">
        <v>411</v>
      </c>
    </row>
    <row r="1065" spans="1:6" x14ac:dyDescent="0.2">
      <c r="A1065">
        <v>85035980</v>
      </c>
      <c r="B1065">
        <v>2013</v>
      </c>
      <c r="C1065">
        <v>91.5227629513344</v>
      </c>
      <c r="D1065" t="s">
        <v>409</v>
      </c>
      <c r="E1065" t="s">
        <v>410</v>
      </c>
      <c r="F1065" t="s">
        <v>411</v>
      </c>
    </row>
    <row r="1066" spans="1:6" x14ac:dyDescent="0.2">
      <c r="A1066">
        <v>85035980</v>
      </c>
      <c r="B1066">
        <v>2012</v>
      </c>
      <c r="C1066">
        <v>100.68089743589699</v>
      </c>
      <c r="D1066" t="s">
        <v>409</v>
      </c>
      <c r="E1066" t="s">
        <v>410</v>
      </c>
      <c r="F1066" t="s">
        <v>411</v>
      </c>
    </row>
    <row r="1067" spans="1:6" x14ac:dyDescent="0.2">
      <c r="A1067">
        <v>85035980</v>
      </c>
      <c r="B1067">
        <v>2011</v>
      </c>
      <c r="C1067">
        <v>93.659000000000006</v>
      </c>
      <c r="D1067" t="s">
        <v>409</v>
      </c>
      <c r="E1067" t="s">
        <v>410</v>
      </c>
      <c r="F1067" t="s">
        <v>411</v>
      </c>
    </row>
    <row r="1068" spans="1:6" x14ac:dyDescent="0.2">
      <c r="A1068">
        <v>85035980</v>
      </c>
      <c r="B1068">
        <v>2010</v>
      </c>
      <c r="C1068">
        <v>82.283710428976306</v>
      </c>
      <c r="D1068" t="s">
        <v>409</v>
      </c>
      <c r="E1068" t="s">
        <v>410</v>
      </c>
      <c r="F1068" t="s">
        <v>411</v>
      </c>
    </row>
    <row r="1069" spans="1:6" x14ac:dyDescent="0.2">
      <c r="A1069">
        <v>49412163</v>
      </c>
      <c r="B1069">
        <v>2020</v>
      </c>
      <c r="C1069">
        <v>36.0509210910135</v>
      </c>
      <c r="D1069" t="s">
        <v>146</v>
      </c>
      <c r="E1069" t="s">
        <v>55</v>
      </c>
      <c r="F1069" t="s">
        <v>7</v>
      </c>
    </row>
    <row r="1070" spans="1:6" x14ac:dyDescent="0.2">
      <c r="A1070">
        <v>33621053</v>
      </c>
      <c r="B1070">
        <v>2020</v>
      </c>
      <c r="C1070">
        <v>48.617157328832398</v>
      </c>
      <c r="D1070" t="s">
        <v>219</v>
      </c>
      <c r="E1070" t="s">
        <v>220</v>
      </c>
      <c r="F1070" t="s">
        <v>7</v>
      </c>
    </row>
    <row r="1071" spans="1:6" x14ac:dyDescent="0.2">
      <c r="A1071">
        <v>33621053</v>
      </c>
      <c r="B1071">
        <v>2019</v>
      </c>
      <c r="C1071">
        <v>33.580335355615802</v>
      </c>
      <c r="D1071" t="s">
        <v>219</v>
      </c>
      <c r="E1071" t="s">
        <v>220</v>
      </c>
      <c r="F1071" t="s">
        <v>7</v>
      </c>
    </row>
    <row r="1072" spans="1:6" x14ac:dyDescent="0.2">
      <c r="A1072">
        <v>33621053</v>
      </c>
      <c r="B1072">
        <v>2018</v>
      </c>
      <c r="C1072">
        <v>33.866635524932903</v>
      </c>
      <c r="D1072" t="s">
        <v>219</v>
      </c>
      <c r="E1072" t="s">
        <v>220</v>
      </c>
      <c r="F1072" t="s">
        <v>7</v>
      </c>
    </row>
    <row r="1073" spans="1:6" x14ac:dyDescent="0.2">
      <c r="A1073">
        <v>33621053</v>
      </c>
      <c r="B1073">
        <v>2016</v>
      </c>
      <c r="C1073">
        <v>27.667726189124799</v>
      </c>
      <c r="D1073" t="s">
        <v>219</v>
      </c>
      <c r="E1073" t="s">
        <v>220</v>
      </c>
      <c r="F1073" t="s">
        <v>7</v>
      </c>
    </row>
    <row r="1074" spans="1:6" x14ac:dyDescent="0.2">
      <c r="A1074">
        <v>33621053</v>
      </c>
      <c r="B1074">
        <v>2015</v>
      </c>
      <c r="C1074">
        <v>27.3187613843352</v>
      </c>
      <c r="D1074" t="s">
        <v>219</v>
      </c>
      <c r="E1074" t="s">
        <v>220</v>
      </c>
      <c r="F1074" t="s">
        <v>7</v>
      </c>
    </row>
    <row r="1075" spans="1:6" x14ac:dyDescent="0.2">
      <c r="A1075">
        <v>79803219</v>
      </c>
      <c r="B1075">
        <v>2020</v>
      </c>
      <c r="C1075">
        <v>96.850593487966904</v>
      </c>
      <c r="D1075" t="s">
        <v>84</v>
      </c>
      <c r="E1075" t="s">
        <v>85</v>
      </c>
      <c r="F1075" t="s">
        <v>86</v>
      </c>
    </row>
    <row r="1076" spans="1:6" x14ac:dyDescent="0.2">
      <c r="A1076">
        <v>79803219</v>
      </c>
      <c r="B1076">
        <v>2019</v>
      </c>
      <c r="C1076">
        <v>99.257552643106195</v>
      </c>
      <c r="D1076" t="s">
        <v>84</v>
      </c>
      <c r="E1076" t="s">
        <v>85</v>
      </c>
      <c r="F1076" t="s">
        <v>86</v>
      </c>
    </row>
    <row r="1077" spans="1:6" x14ac:dyDescent="0.2">
      <c r="A1077">
        <v>79803219</v>
      </c>
      <c r="B1077">
        <v>2018</v>
      </c>
      <c r="C1077">
        <v>96.596786750183199</v>
      </c>
      <c r="D1077" t="s">
        <v>84</v>
      </c>
      <c r="E1077" t="s">
        <v>85</v>
      </c>
      <c r="F1077" t="s">
        <v>86</v>
      </c>
    </row>
    <row r="1078" spans="1:6" x14ac:dyDescent="0.2">
      <c r="A1078">
        <v>79803219</v>
      </c>
      <c r="B1078">
        <v>2017</v>
      </c>
      <c r="C1078">
        <v>93.3509402209813</v>
      </c>
      <c r="D1078" t="s">
        <v>84</v>
      </c>
      <c r="E1078" t="s">
        <v>85</v>
      </c>
      <c r="F1078" t="s">
        <v>86</v>
      </c>
    </row>
    <row r="1079" spans="1:6" x14ac:dyDescent="0.2">
      <c r="A1079">
        <v>79803219</v>
      </c>
      <c r="B1079">
        <v>2016</v>
      </c>
      <c r="C1079">
        <v>88.484548055140095</v>
      </c>
      <c r="D1079" t="s">
        <v>84</v>
      </c>
      <c r="E1079" t="s">
        <v>85</v>
      </c>
      <c r="F1079" t="s">
        <v>86</v>
      </c>
    </row>
    <row r="1080" spans="1:6" x14ac:dyDescent="0.2">
      <c r="A1080">
        <v>79803219</v>
      </c>
      <c r="B1080">
        <v>2015</v>
      </c>
      <c r="C1080">
        <v>84.609806597218906</v>
      </c>
      <c r="D1080" t="s">
        <v>84</v>
      </c>
      <c r="E1080" t="s">
        <v>85</v>
      </c>
      <c r="F1080" t="s">
        <v>86</v>
      </c>
    </row>
    <row r="1081" spans="1:6" x14ac:dyDescent="0.2">
      <c r="A1081">
        <v>79803219</v>
      </c>
      <c r="B1081">
        <v>2014</v>
      </c>
      <c r="C1081">
        <v>79.803163540333799</v>
      </c>
      <c r="D1081" t="s">
        <v>84</v>
      </c>
      <c r="E1081" t="s">
        <v>85</v>
      </c>
      <c r="F1081" t="s">
        <v>86</v>
      </c>
    </row>
    <row r="1082" spans="1:6" x14ac:dyDescent="0.2">
      <c r="A1082">
        <v>79803219</v>
      </c>
      <c r="B1082">
        <v>2013</v>
      </c>
      <c r="C1082">
        <v>67.904775562885405</v>
      </c>
      <c r="D1082" t="s">
        <v>84</v>
      </c>
      <c r="E1082" t="s">
        <v>85</v>
      </c>
      <c r="F1082" t="s">
        <v>86</v>
      </c>
    </row>
    <row r="1083" spans="1:6" x14ac:dyDescent="0.2">
      <c r="A1083">
        <v>79803219</v>
      </c>
      <c r="B1083">
        <v>2012</v>
      </c>
      <c r="C1083">
        <v>72.280835603996394</v>
      </c>
      <c r="D1083" t="s">
        <v>84</v>
      </c>
      <c r="E1083" t="s">
        <v>85</v>
      </c>
      <c r="F1083" t="s">
        <v>86</v>
      </c>
    </row>
    <row r="1084" spans="1:6" x14ac:dyDescent="0.2">
      <c r="A1084">
        <v>79803219</v>
      </c>
      <c r="B1084">
        <v>2011</v>
      </c>
      <c r="C1084">
        <v>76.6666666666667</v>
      </c>
      <c r="D1084" t="s">
        <v>84</v>
      </c>
      <c r="E1084" t="s">
        <v>85</v>
      </c>
      <c r="F1084" t="s">
        <v>86</v>
      </c>
    </row>
    <row r="1085" spans="1:6" x14ac:dyDescent="0.2">
      <c r="A1085">
        <v>79803219</v>
      </c>
      <c r="B1085">
        <v>2010</v>
      </c>
      <c r="C1085">
        <v>95.351093201999802</v>
      </c>
      <c r="D1085" t="s">
        <v>84</v>
      </c>
      <c r="E1085" t="s">
        <v>85</v>
      </c>
      <c r="F1085" t="s">
        <v>86</v>
      </c>
    </row>
    <row r="1086" spans="1:6" x14ac:dyDescent="0.2">
      <c r="A1086">
        <v>55188836</v>
      </c>
      <c r="B1086">
        <v>2020</v>
      </c>
      <c r="C1086">
        <v>57.993716991843598</v>
      </c>
      <c r="D1086" t="s">
        <v>231</v>
      </c>
      <c r="E1086"/>
      <c r="F1086" t="s">
        <v>232</v>
      </c>
    </row>
    <row r="1087" spans="1:6" x14ac:dyDescent="0.2">
      <c r="A1087">
        <v>55188836</v>
      </c>
      <c r="B1087">
        <v>2019</v>
      </c>
      <c r="C1087">
        <v>60.281007134529702</v>
      </c>
      <c r="D1087" t="s">
        <v>231</v>
      </c>
      <c r="E1087"/>
      <c r="F1087" t="s">
        <v>232</v>
      </c>
    </row>
    <row r="1088" spans="1:6" x14ac:dyDescent="0.2">
      <c r="A1088">
        <v>55188836</v>
      </c>
      <c r="B1088">
        <v>2018</v>
      </c>
      <c r="C1088">
        <v>60.231977502938697</v>
      </c>
      <c r="D1088" t="s">
        <v>231</v>
      </c>
      <c r="E1088"/>
      <c r="F1088" t="s">
        <v>232</v>
      </c>
    </row>
    <row r="1089" spans="1:6" x14ac:dyDescent="0.2">
      <c r="A1089">
        <v>55188836</v>
      </c>
      <c r="B1089">
        <v>2017</v>
      </c>
      <c r="C1089">
        <v>54.047245857590703</v>
      </c>
      <c r="D1089" t="s">
        <v>231</v>
      </c>
      <c r="E1089"/>
      <c r="F1089" t="s">
        <v>232</v>
      </c>
    </row>
    <row r="1090" spans="1:6" x14ac:dyDescent="0.2">
      <c r="A1090">
        <v>55188836</v>
      </c>
      <c r="B1090">
        <v>2016</v>
      </c>
      <c r="C1090">
        <v>49.352061266012903</v>
      </c>
      <c r="D1090" t="s">
        <v>231</v>
      </c>
      <c r="E1090"/>
      <c r="F1090" t="s">
        <v>232</v>
      </c>
    </row>
    <row r="1091" spans="1:6" x14ac:dyDescent="0.2">
      <c r="A1091">
        <v>55188836</v>
      </c>
      <c r="B1091">
        <v>2015</v>
      </c>
      <c r="C1091">
        <v>44.163544106167002</v>
      </c>
      <c r="D1091" t="s">
        <v>231</v>
      </c>
      <c r="E1091"/>
      <c r="F1091" t="s">
        <v>232</v>
      </c>
    </row>
    <row r="1092" spans="1:6" x14ac:dyDescent="0.2">
      <c r="A1092">
        <v>55188836</v>
      </c>
      <c r="B1092">
        <v>2014</v>
      </c>
      <c r="C1092">
        <v>46.529384194372597</v>
      </c>
      <c r="D1092" t="s">
        <v>231</v>
      </c>
      <c r="E1092"/>
      <c r="F1092" t="s">
        <v>232</v>
      </c>
    </row>
    <row r="1093" spans="1:6" x14ac:dyDescent="0.2">
      <c r="A1093">
        <v>55188836</v>
      </c>
      <c r="B1093">
        <v>2013</v>
      </c>
      <c r="C1093">
        <v>44.248608534322798</v>
      </c>
      <c r="D1093" t="s">
        <v>231</v>
      </c>
      <c r="E1093"/>
      <c r="F1093" t="s">
        <v>232</v>
      </c>
    </row>
    <row r="1094" spans="1:6" x14ac:dyDescent="0.2">
      <c r="A1094">
        <v>55188836</v>
      </c>
      <c r="B1094">
        <v>2012</v>
      </c>
      <c r="C1094">
        <v>43.364197530864203</v>
      </c>
      <c r="D1094" t="s">
        <v>231</v>
      </c>
      <c r="E1094"/>
      <c r="F1094" t="s">
        <v>232</v>
      </c>
    </row>
    <row r="1095" spans="1:6" x14ac:dyDescent="0.2">
      <c r="A1095">
        <v>55188836</v>
      </c>
      <c r="B1095">
        <v>2011</v>
      </c>
      <c r="C1095">
        <v>53.3333333333333</v>
      </c>
      <c r="D1095" t="s">
        <v>231</v>
      </c>
      <c r="E1095"/>
      <c r="F1095" t="s">
        <v>232</v>
      </c>
    </row>
    <row r="1096" spans="1:6" x14ac:dyDescent="0.2">
      <c r="A1096">
        <v>55188836</v>
      </c>
      <c r="B1096">
        <v>2010</v>
      </c>
      <c r="C1096">
        <v>33.950617283950599</v>
      </c>
      <c r="D1096" t="s">
        <v>231</v>
      </c>
      <c r="E1096"/>
      <c r="F1096" t="s">
        <v>232</v>
      </c>
    </row>
    <row r="1097" spans="1:6" x14ac:dyDescent="0.2">
      <c r="A1097">
        <v>22767450</v>
      </c>
      <c r="B1097">
        <v>2020</v>
      </c>
      <c r="C1097">
        <v>54.885815906026302</v>
      </c>
      <c r="D1097" t="s">
        <v>215</v>
      </c>
      <c r="E1097" t="s">
        <v>216</v>
      </c>
      <c r="F1097" t="s">
        <v>172</v>
      </c>
    </row>
    <row r="1098" spans="1:6" x14ac:dyDescent="0.2">
      <c r="A1098">
        <v>93720346</v>
      </c>
      <c r="B1098">
        <v>2019</v>
      </c>
      <c r="C1098">
        <v>47.545259907929101</v>
      </c>
      <c r="D1098" t="s">
        <v>1093</v>
      </c>
      <c r="E1098"/>
      <c r="F1098" t="s">
        <v>177</v>
      </c>
    </row>
    <row r="1099" spans="1:6" x14ac:dyDescent="0.2">
      <c r="A1099">
        <v>19515503</v>
      </c>
      <c r="B1099">
        <v>2019</v>
      </c>
      <c r="C1099">
        <v>37.736530405893397</v>
      </c>
      <c r="D1099" t="s">
        <v>903</v>
      </c>
      <c r="E1099" t="s">
        <v>436</v>
      </c>
      <c r="F1099" t="s">
        <v>19</v>
      </c>
    </row>
    <row r="1100" spans="1:6" x14ac:dyDescent="0.2">
      <c r="A1100">
        <v>19515503</v>
      </c>
      <c r="B1100">
        <v>2018</v>
      </c>
      <c r="C1100">
        <v>52.254156791647802</v>
      </c>
      <c r="D1100" t="s">
        <v>903</v>
      </c>
      <c r="E1100" t="s">
        <v>436</v>
      </c>
      <c r="F1100" t="s">
        <v>19</v>
      </c>
    </row>
    <row r="1101" spans="1:6" x14ac:dyDescent="0.2">
      <c r="A1101">
        <v>58069072</v>
      </c>
      <c r="B1101">
        <v>2020</v>
      </c>
      <c r="C1101">
        <v>45.848239209289403</v>
      </c>
      <c r="D1101" t="s">
        <v>930</v>
      </c>
      <c r="E1101" t="s">
        <v>931</v>
      </c>
      <c r="F1101" t="s">
        <v>622</v>
      </c>
    </row>
    <row r="1102" spans="1:6" x14ac:dyDescent="0.2">
      <c r="A1102">
        <v>58069072</v>
      </c>
      <c r="B1102">
        <v>2018</v>
      </c>
      <c r="C1102">
        <v>62.707777792541698</v>
      </c>
      <c r="D1102" t="s">
        <v>930</v>
      </c>
      <c r="E1102" t="s">
        <v>931</v>
      </c>
      <c r="F1102" t="s">
        <v>622</v>
      </c>
    </row>
    <row r="1103" spans="1:6" x14ac:dyDescent="0.2">
      <c r="A1103">
        <v>58069072</v>
      </c>
      <c r="B1103">
        <v>2017</v>
      </c>
      <c r="C1103">
        <v>58.429051056345699</v>
      </c>
      <c r="D1103" t="s">
        <v>930</v>
      </c>
      <c r="E1103" t="s">
        <v>931</v>
      </c>
      <c r="F1103" t="s">
        <v>622</v>
      </c>
    </row>
    <row r="1104" spans="1:6" x14ac:dyDescent="0.2">
      <c r="A1104">
        <v>26416758</v>
      </c>
      <c r="B1104">
        <v>2020</v>
      </c>
      <c r="C1104">
        <v>53.261601835161201</v>
      </c>
      <c r="D1104" t="s">
        <v>456</v>
      </c>
      <c r="E1104" t="s">
        <v>457</v>
      </c>
      <c r="F1104" t="s">
        <v>428</v>
      </c>
    </row>
    <row r="1105" spans="1:6" x14ac:dyDescent="0.2">
      <c r="A1105">
        <v>26416758</v>
      </c>
      <c r="B1105">
        <v>2019</v>
      </c>
      <c r="C1105">
        <v>62.672300872232199</v>
      </c>
      <c r="D1105" t="s">
        <v>456</v>
      </c>
      <c r="E1105" t="s">
        <v>457</v>
      </c>
      <c r="F1105" t="s">
        <v>428</v>
      </c>
    </row>
    <row r="1106" spans="1:6" x14ac:dyDescent="0.2">
      <c r="A1106">
        <v>26416758</v>
      </c>
      <c r="B1106">
        <v>2018</v>
      </c>
      <c r="C1106">
        <v>74.457793318804804</v>
      </c>
      <c r="D1106" t="s">
        <v>456</v>
      </c>
      <c r="E1106" t="s">
        <v>457</v>
      </c>
      <c r="F1106" t="s">
        <v>428</v>
      </c>
    </row>
    <row r="1107" spans="1:6" x14ac:dyDescent="0.2">
      <c r="A1107">
        <v>26416758</v>
      </c>
      <c r="B1107">
        <v>2017</v>
      </c>
      <c r="C1107">
        <v>57.690424840686198</v>
      </c>
      <c r="D1107" t="s">
        <v>456</v>
      </c>
      <c r="E1107" t="s">
        <v>457</v>
      </c>
      <c r="F1107" t="s">
        <v>428</v>
      </c>
    </row>
    <row r="1108" spans="1:6" x14ac:dyDescent="0.2">
      <c r="A1108">
        <v>26416758</v>
      </c>
      <c r="B1108">
        <v>2016</v>
      </c>
      <c r="C1108">
        <v>46.294638763455602</v>
      </c>
      <c r="D1108" t="s">
        <v>456</v>
      </c>
      <c r="E1108" t="s">
        <v>457</v>
      </c>
      <c r="F1108" t="s">
        <v>428</v>
      </c>
    </row>
    <row r="1109" spans="1:6" x14ac:dyDescent="0.2">
      <c r="A1109">
        <v>26416758</v>
      </c>
      <c r="B1109">
        <v>2015</v>
      </c>
      <c r="C1109">
        <v>45.998405467645497</v>
      </c>
      <c r="D1109" t="s">
        <v>456</v>
      </c>
      <c r="E1109" t="s">
        <v>457</v>
      </c>
      <c r="F1109" t="s">
        <v>428</v>
      </c>
    </row>
    <row r="1110" spans="1:6" x14ac:dyDescent="0.2">
      <c r="A1110">
        <v>26416758</v>
      </c>
      <c r="B1110">
        <v>2014</v>
      </c>
      <c r="C1110">
        <v>65.532099862037697</v>
      </c>
      <c r="D1110" t="s">
        <v>456</v>
      </c>
      <c r="E1110" t="s">
        <v>457</v>
      </c>
      <c r="F1110" t="s">
        <v>428</v>
      </c>
    </row>
    <row r="1111" spans="1:6" x14ac:dyDescent="0.2">
      <c r="A1111">
        <v>26416758</v>
      </c>
      <c r="B1111">
        <v>2013</v>
      </c>
      <c r="C1111">
        <v>48.434393638171002</v>
      </c>
      <c r="D1111" t="s">
        <v>456</v>
      </c>
      <c r="E1111" t="s">
        <v>457</v>
      </c>
      <c r="F1111" t="s">
        <v>428</v>
      </c>
    </row>
    <row r="1112" spans="1:6" x14ac:dyDescent="0.2">
      <c r="A1112">
        <v>83982931</v>
      </c>
      <c r="B1112">
        <v>2020</v>
      </c>
      <c r="C1112">
        <v>67</v>
      </c>
      <c r="D1112" t="s">
        <v>821</v>
      </c>
      <c r="E1112" t="s">
        <v>581</v>
      </c>
      <c r="F1112" t="s">
        <v>1126</v>
      </c>
    </row>
    <row r="1113" spans="1:6" x14ac:dyDescent="0.2">
      <c r="A1113">
        <v>83982931</v>
      </c>
      <c r="B1113">
        <v>2019</v>
      </c>
      <c r="C1113">
        <v>58.331111111111099</v>
      </c>
      <c r="D1113" t="s">
        <v>821</v>
      </c>
      <c r="E1113" t="s">
        <v>581</v>
      </c>
      <c r="F1113" t="s">
        <v>1126</v>
      </c>
    </row>
    <row r="1114" spans="1:6" x14ac:dyDescent="0.2">
      <c r="A1114">
        <v>13048886</v>
      </c>
      <c r="B1114">
        <v>2020</v>
      </c>
      <c r="C1114">
        <v>36.370087162027197</v>
      </c>
      <c r="D1114" t="s">
        <v>1127</v>
      </c>
      <c r="E1114" t="s">
        <v>55</v>
      </c>
      <c r="F1114" t="s">
        <v>7</v>
      </c>
    </row>
    <row r="1115" spans="1:6" x14ac:dyDescent="0.2">
      <c r="A1115">
        <v>13048886</v>
      </c>
      <c r="B1115">
        <v>2019</v>
      </c>
      <c r="C1115">
        <v>37.774146126694902</v>
      </c>
      <c r="D1115" t="s">
        <v>1127</v>
      </c>
      <c r="E1115" t="s">
        <v>55</v>
      </c>
      <c r="F1115" t="s">
        <v>7</v>
      </c>
    </row>
    <row r="1116" spans="1:6" x14ac:dyDescent="0.2">
      <c r="A1116">
        <v>13048886</v>
      </c>
      <c r="B1116">
        <v>2018</v>
      </c>
      <c r="C1116">
        <v>33.4773638522325</v>
      </c>
      <c r="D1116" t="s">
        <v>1127</v>
      </c>
      <c r="E1116" t="s">
        <v>55</v>
      </c>
      <c r="F1116" t="s">
        <v>7</v>
      </c>
    </row>
    <row r="1117" spans="1:6" x14ac:dyDescent="0.2">
      <c r="A1117">
        <v>13048886</v>
      </c>
      <c r="B1117">
        <v>2017</v>
      </c>
      <c r="C1117">
        <v>35.440613026819904</v>
      </c>
      <c r="D1117" t="s">
        <v>1127</v>
      </c>
      <c r="E1117" t="s">
        <v>55</v>
      </c>
      <c r="F1117" t="s">
        <v>7</v>
      </c>
    </row>
    <row r="1118" spans="1:6" x14ac:dyDescent="0.2">
      <c r="A1118">
        <v>13048886</v>
      </c>
      <c r="B1118">
        <v>2016</v>
      </c>
      <c r="C1118">
        <v>32.586993248883203</v>
      </c>
      <c r="D1118" t="s">
        <v>1127</v>
      </c>
      <c r="E1118" t="s">
        <v>55</v>
      </c>
      <c r="F1118" t="s">
        <v>7</v>
      </c>
    </row>
    <row r="1119" spans="1:6" x14ac:dyDescent="0.2">
      <c r="A1119">
        <v>13048886</v>
      </c>
      <c r="B1119">
        <v>2015</v>
      </c>
      <c r="C1119">
        <v>25.409836065573799</v>
      </c>
      <c r="D1119" t="s">
        <v>1127</v>
      </c>
      <c r="E1119" t="s">
        <v>55</v>
      </c>
      <c r="F1119" t="s">
        <v>7</v>
      </c>
    </row>
    <row r="1120" spans="1:6" x14ac:dyDescent="0.2">
      <c r="A1120">
        <v>13048886</v>
      </c>
      <c r="B1120">
        <v>2014</v>
      </c>
      <c r="C1120">
        <v>36.286116024856</v>
      </c>
      <c r="D1120" t="s">
        <v>1127</v>
      </c>
      <c r="E1120" t="s">
        <v>55</v>
      </c>
      <c r="F1120" t="s">
        <v>7</v>
      </c>
    </row>
    <row r="1121" spans="1:6" x14ac:dyDescent="0.2">
      <c r="A1121">
        <v>13048886</v>
      </c>
      <c r="B1121">
        <v>2012</v>
      </c>
      <c r="C1121">
        <v>30.8641975308642</v>
      </c>
      <c r="D1121" t="s">
        <v>1127</v>
      </c>
      <c r="E1121" t="s">
        <v>55</v>
      </c>
      <c r="F1121" t="s">
        <v>7</v>
      </c>
    </row>
    <row r="1122" spans="1:6" x14ac:dyDescent="0.2">
      <c r="A1122">
        <v>84739027</v>
      </c>
      <c r="B1122">
        <v>2020</v>
      </c>
      <c r="C1122">
        <v>38.248373102698402</v>
      </c>
      <c r="D1122" t="s">
        <v>614</v>
      </c>
      <c r="E1122" t="s">
        <v>436</v>
      </c>
      <c r="F1122" t="s">
        <v>19</v>
      </c>
    </row>
    <row r="1123" spans="1:6" x14ac:dyDescent="0.2">
      <c r="A1123">
        <v>84739027</v>
      </c>
      <c r="B1123">
        <v>2019</v>
      </c>
      <c r="C1123">
        <v>36.8962432915921</v>
      </c>
      <c r="D1123" t="s">
        <v>614</v>
      </c>
      <c r="E1123" t="s">
        <v>436</v>
      </c>
      <c r="F1123" t="s">
        <v>19</v>
      </c>
    </row>
    <row r="1124" spans="1:6" x14ac:dyDescent="0.2">
      <c r="A1124">
        <v>84739027</v>
      </c>
      <c r="B1124">
        <v>2018</v>
      </c>
      <c r="C1124">
        <v>41.052789840267899</v>
      </c>
      <c r="D1124" t="s">
        <v>614</v>
      </c>
      <c r="E1124" t="s">
        <v>436</v>
      </c>
      <c r="F1124" t="s">
        <v>19</v>
      </c>
    </row>
    <row r="1125" spans="1:6" x14ac:dyDescent="0.2">
      <c r="A1125">
        <v>84739027</v>
      </c>
      <c r="B1125">
        <v>2017</v>
      </c>
      <c r="C1125">
        <v>36.474260958205903</v>
      </c>
      <c r="D1125" t="s">
        <v>614</v>
      </c>
      <c r="E1125" t="s">
        <v>436</v>
      </c>
      <c r="F1125" t="s">
        <v>19</v>
      </c>
    </row>
    <row r="1126" spans="1:6" x14ac:dyDescent="0.2">
      <c r="A1126">
        <v>84739027</v>
      </c>
      <c r="B1126">
        <v>2016</v>
      </c>
      <c r="C1126">
        <v>31.974758390539399</v>
      </c>
      <c r="D1126" t="s">
        <v>614</v>
      </c>
      <c r="E1126" t="s">
        <v>436</v>
      </c>
      <c r="F1126" t="s">
        <v>19</v>
      </c>
    </row>
    <row r="1127" spans="1:6" x14ac:dyDescent="0.2">
      <c r="A1127">
        <v>84739027</v>
      </c>
      <c r="B1127">
        <v>2015</v>
      </c>
      <c r="C1127">
        <v>32.424380604955203</v>
      </c>
      <c r="D1127" t="s">
        <v>614</v>
      </c>
      <c r="E1127" t="s">
        <v>436</v>
      </c>
      <c r="F1127" t="s">
        <v>19</v>
      </c>
    </row>
    <row r="1128" spans="1:6" x14ac:dyDescent="0.2">
      <c r="A1128">
        <v>84739027</v>
      </c>
      <c r="B1128">
        <v>2014</v>
      </c>
      <c r="C1128">
        <v>29.654440908837199</v>
      </c>
      <c r="D1128" t="s">
        <v>614</v>
      </c>
      <c r="E1128" t="s">
        <v>436</v>
      </c>
      <c r="F1128" t="s">
        <v>19</v>
      </c>
    </row>
    <row r="1129" spans="1:6" x14ac:dyDescent="0.2">
      <c r="A1129">
        <v>84739027</v>
      </c>
      <c r="B1129">
        <v>2013</v>
      </c>
      <c r="C1129">
        <v>29.545454545454501</v>
      </c>
      <c r="D1129" t="s">
        <v>614</v>
      </c>
      <c r="E1129" t="s">
        <v>436</v>
      </c>
      <c r="F1129" t="s">
        <v>19</v>
      </c>
    </row>
    <row r="1130" spans="1:6" x14ac:dyDescent="0.2">
      <c r="A1130">
        <v>84739027</v>
      </c>
      <c r="B1130">
        <v>2012</v>
      </c>
      <c r="C1130">
        <v>23.076923076923102</v>
      </c>
      <c r="D1130" t="s">
        <v>614</v>
      </c>
      <c r="E1130" t="s">
        <v>436</v>
      </c>
      <c r="F1130" t="s">
        <v>19</v>
      </c>
    </row>
    <row r="1131" spans="1:6" x14ac:dyDescent="0.2">
      <c r="A1131">
        <v>84739027</v>
      </c>
      <c r="B1131">
        <v>2011</v>
      </c>
      <c r="C1131">
        <v>33.3333333333333</v>
      </c>
      <c r="D1131" t="s">
        <v>614</v>
      </c>
      <c r="E1131" t="s">
        <v>436</v>
      </c>
      <c r="F1131" t="s">
        <v>19</v>
      </c>
    </row>
    <row r="1132" spans="1:6" x14ac:dyDescent="0.2">
      <c r="A1132">
        <v>51776714</v>
      </c>
      <c r="B1132">
        <v>2020</v>
      </c>
      <c r="C1132">
        <v>62.2730763584863</v>
      </c>
      <c r="D1132" t="s">
        <v>293</v>
      </c>
      <c r="E1132"/>
      <c r="F1132" t="s">
        <v>33</v>
      </c>
    </row>
    <row r="1133" spans="1:6" x14ac:dyDescent="0.2">
      <c r="A1133">
        <v>51776714</v>
      </c>
      <c r="B1133">
        <v>2019</v>
      </c>
      <c r="C1133">
        <v>56.298539010777503</v>
      </c>
      <c r="D1133" t="s">
        <v>293</v>
      </c>
      <c r="E1133"/>
      <c r="F1133" t="s">
        <v>33</v>
      </c>
    </row>
    <row r="1134" spans="1:6" x14ac:dyDescent="0.2">
      <c r="A1134">
        <v>51776714</v>
      </c>
      <c r="B1134">
        <v>2018</v>
      </c>
      <c r="C1134">
        <v>56.527723347568802</v>
      </c>
      <c r="D1134" t="s">
        <v>293</v>
      </c>
      <c r="E1134"/>
      <c r="F1134" t="s">
        <v>33</v>
      </c>
    </row>
    <row r="1135" spans="1:6" x14ac:dyDescent="0.2">
      <c r="A1135">
        <v>51776714</v>
      </c>
      <c r="B1135">
        <v>2017</v>
      </c>
      <c r="C1135">
        <v>56.066549952874198</v>
      </c>
      <c r="D1135" t="s">
        <v>293</v>
      </c>
      <c r="E1135"/>
      <c r="F1135" t="s">
        <v>33</v>
      </c>
    </row>
    <row r="1136" spans="1:6" x14ac:dyDescent="0.2">
      <c r="A1136">
        <v>51776714</v>
      </c>
      <c r="B1136">
        <v>2015</v>
      </c>
      <c r="C1136">
        <v>48.486470481049601</v>
      </c>
      <c r="D1136" t="s">
        <v>293</v>
      </c>
      <c r="E1136"/>
      <c r="F1136" t="s">
        <v>33</v>
      </c>
    </row>
    <row r="1137" spans="1:6" x14ac:dyDescent="0.2">
      <c r="A1137">
        <v>51776714</v>
      </c>
      <c r="B1137">
        <v>2014</v>
      </c>
      <c r="C1137">
        <v>50.160719038552102</v>
      </c>
      <c r="D1137" t="s">
        <v>293</v>
      </c>
      <c r="E1137"/>
      <c r="F1137" t="s">
        <v>33</v>
      </c>
    </row>
    <row r="1138" spans="1:6" x14ac:dyDescent="0.2">
      <c r="A1138">
        <v>51776714</v>
      </c>
      <c r="B1138">
        <v>2013</v>
      </c>
      <c r="C1138">
        <v>47.542735042735004</v>
      </c>
      <c r="D1138" t="s">
        <v>293</v>
      </c>
      <c r="E1138"/>
      <c r="F1138" t="s">
        <v>33</v>
      </c>
    </row>
    <row r="1139" spans="1:6" x14ac:dyDescent="0.2">
      <c r="A1139">
        <v>51776714</v>
      </c>
      <c r="B1139">
        <v>2012</v>
      </c>
      <c r="C1139">
        <v>33.009708737864102</v>
      </c>
      <c r="D1139" t="s">
        <v>293</v>
      </c>
      <c r="E1139"/>
      <c r="F1139" t="s">
        <v>33</v>
      </c>
    </row>
    <row r="1140" spans="1:6" x14ac:dyDescent="0.2">
      <c r="A1140">
        <v>51776714</v>
      </c>
      <c r="B1140">
        <v>2011</v>
      </c>
      <c r="C1140">
        <v>33.505154639175302</v>
      </c>
      <c r="D1140" t="s">
        <v>293</v>
      </c>
      <c r="E1140"/>
      <c r="F1140" t="s">
        <v>33</v>
      </c>
    </row>
    <row r="1141" spans="1:6" x14ac:dyDescent="0.2">
      <c r="A1141">
        <v>51776714</v>
      </c>
      <c r="B1141">
        <v>2010</v>
      </c>
      <c r="C1141">
        <v>43.269230769230802</v>
      </c>
      <c r="D1141" t="s">
        <v>293</v>
      </c>
      <c r="E1141"/>
      <c r="F1141" t="s">
        <v>33</v>
      </c>
    </row>
    <row r="1142" spans="1:6" x14ac:dyDescent="0.2">
      <c r="A1142">
        <v>43805854</v>
      </c>
      <c r="B1142">
        <v>2020</v>
      </c>
      <c r="C1142">
        <v>75.714285714285694</v>
      </c>
      <c r="D1142" t="s">
        <v>577</v>
      </c>
      <c r="E1142" t="s">
        <v>123</v>
      </c>
      <c r="F1142" t="s">
        <v>1126</v>
      </c>
    </row>
    <row r="1143" spans="1:6" x14ac:dyDescent="0.2">
      <c r="A1143">
        <v>43805854</v>
      </c>
      <c r="B1143">
        <v>2019</v>
      </c>
      <c r="C1143">
        <v>53.998750000000001</v>
      </c>
      <c r="D1143" t="s">
        <v>577</v>
      </c>
      <c r="E1143" t="s">
        <v>123</v>
      </c>
      <c r="F1143" t="s">
        <v>1126</v>
      </c>
    </row>
    <row r="1144" spans="1:6" x14ac:dyDescent="0.2">
      <c r="A1144">
        <v>43805854</v>
      </c>
      <c r="B1144">
        <v>2018</v>
      </c>
      <c r="C1144">
        <v>54.6666666666667</v>
      </c>
      <c r="D1144" t="s">
        <v>577</v>
      </c>
      <c r="E1144" t="s">
        <v>123</v>
      </c>
      <c r="F1144" t="s">
        <v>1126</v>
      </c>
    </row>
    <row r="1145" spans="1:6" x14ac:dyDescent="0.2">
      <c r="A1145">
        <v>43805854</v>
      </c>
      <c r="B1145">
        <v>2017</v>
      </c>
      <c r="C1145">
        <v>52.1666666666667</v>
      </c>
      <c r="D1145" t="s">
        <v>577</v>
      </c>
      <c r="E1145" t="s">
        <v>123</v>
      </c>
      <c r="F1145" t="s">
        <v>1126</v>
      </c>
    </row>
    <row r="1146" spans="1:6" x14ac:dyDescent="0.2">
      <c r="A1146">
        <v>43805854</v>
      </c>
      <c r="B1146">
        <v>2016</v>
      </c>
      <c r="C1146">
        <v>41.173333333333296</v>
      </c>
      <c r="D1146" t="s">
        <v>577</v>
      </c>
      <c r="E1146" t="s">
        <v>123</v>
      </c>
      <c r="F1146" t="s">
        <v>1126</v>
      </c>
    </row>
    <row r="1147" spans="1:6" x14ac:dyDescent="0.2">
      <c r="A1147">
        <v>43805854</v>
      </c>
      <c r="B1147">
        <v>2015</v>
      </c>
      <c r="C1147">
        <v>38.737499999999997</v>
      </c>
      <c r="D1147" t="s">
        <v>577</v>
      </c>
      <c r="E1147" t="s">
        <v>123</v>
      </c>
      <c r="F1147" t="s">
        <v>1126</v>
      </c>
    </row>
    <row r="1148" spans="1:6" x14ac:dyDescent="0.2">
      <c r="A1148">
        <v>15981448</v>
      </c>
      <c r="B1148">
        <v>2020</v>
      </c>
      <c r="C1148">
        <v>37.536787569428903</v>
      </c>
      <c r="D1148" t="s">
        <v>926</v>
      </c>
      <c r="E1148"/>
      <c r="F1148" t="s">
        <v>927</v>
      </c>
    </row>
    <row r="1149" spans="1:6" x14ac:dyDescent="0.2">
      <c r="A1149">
        <v>15981448</v>
      </c>
      <c r="B1149">
        <v>2019</v>
      </c>
      <c r="C1149">
        <v>39.105608612044797</v>
      </c>
      <c r="D1149" t="s">
        <v>926</v>
      </c>
      <c r="E1149"/>
      <c r="F1149" t="s">
        <v>927</v>
      </c>
    </row>
    <row r="1150" spans="1:6" x14ac:dyDescent="0.2">
      <c r="A1150">
        <v>15981448</v>
      </c>
      <c r="B1150">
        <v>2018</v>
      </c>
      <c r="C1150">
        <v>40.075298438934801</v>
      </c>
      <c r="D1150" t="s">
        <v>926</v>
      </c>
      <c r="E1150"/>
      <c r="F1150" t="s">
        <v>927</v>
      </c>
    </row>
    <row r="1151" spans="1:6" x14ac:dyDescent="0.2">
      <c r="A1151">
        <v>15981448</v>
      </c>
      <c r="B1151">
        <v>2017</v>
      </c>
      <c r="C1151">
        <v>41.443393095483401</v>
      </c>
      <c r="D1151" t="s">
        <v>926</v>
      </c>
      <c r="E1151"/>
      <c r="F1151" t="s">
        <v>927</v>
      </c>
    </row>
    <row r="1152" spans="1:6" x14ac:dyDescent="0.2">
      <c r="A1152">
        <v>15981448</v>
      </c>
      <c r="B1152">
        <v>2016</v>
      </c>
      <c r="C1152">
        <v>46.849883046573801</v>
      </c>
      <c r="D1152" t="s">
        <v>926</v>
      </c>
      <c r="E1152"/>
      <c r="F1152" t="s">
        <v>927</v>
      </c>
    </row>
    <row r="1153" spans="1:6" x14ac:dyDescent="0.2">
      <c r="A1153">
        <v>15981448</v>
      </c>
      <c r="B1153">
        <v>2015</v>
      </c>
      <c r="C1153">
        <v>55.938363312664997</v>
      </c>
      <c r="D1153" t="s">
        <v>926</v>
      </c>
      <c r="E1153"/>
      <c r="F1153" t="s">
        <v>927</v>
      </c>
    </row>
    <row r="1154" spans="1:6" x14ac:dyDescent="0.2">
      <c r="A1154">
        <v>32411059</v>
      </c>
      <c r="B1154">
        <v>2016</v>
      </c>
      <c r="C1154">
        <v>47.8</v>
      </c>
      <c r="D1154" t="s">
        <v>1044</v>
      </c>
      <c r="E1154" t="s">
        <v>156</v>
      </c>
      <c r="F1154" t="s">
        <v>1126</v>
      </c>
    </row>
    <row r="1155" spans="1:6" x14ac:dyDescent="0.2">
      <c r="A1155">
        <v>74980226</v>
      </c>
      <c r="B1155">
        <v>2019</v>
      </c>
      <c r="C1155">
        <v>13.5700916208066</v>
      </c>
      <c r="D1155" t="s">
        <v>976</v>
      </c>
      <c r="E1155"/>
      <c r="F1155" t="s">
        <v>388</v>
      </c>
    </row>
    <row r="1156" spans="1:6" x14ac:dyDescent="0.2">
      <c r="A1156">
        <v>74980226</v>
      </c>
      <c r="B1156">
        <v>2018</v>
      </c>
      <c r="C1156">
        <v>14.9884100670001</v>
      </c>
      <c r="D1156" t="s">
        <v>976</v>
      </c>
      <c r="E1156"/>
      <c r="F1156" t="s">
        <v>388</v>
      </c>
    </row>
    <row r="1157" spans="1:6" x14ac:dyDescent="0.2">
      <c r="A1157">
        <v>74980226</v>
      </c>
      <c r="B1157">
        <v>2017</v>
      </c>
      <c r="C1157">
        <v>18.851178990436399</v>
      </c>
      <c r="D1157" t="s">
        <v>976</v>
      </c>
      <c r="E1157"/>
      <c r="F1157" t="s">
        <v>388</v>
      </c>
    </row>
    <row r="1158" spans="1:6" x14ac:dyDescent="0.2">
      <c r="A1158">
        <v>74980226</v>
      </c>
      <c r="B1158">
        <v>2016</v>
      </c>
      <c r="C1158">
        <v>20.651611791070501</v>
      </c>
      <c r="D1158" t="s">
        <v>976</v>
      </c>
      <c r="E1158"/>
      <c r="F1158" t="s">
        <v>388</v>
      </c>
    </row>
    <row r="1159" spans="1:6" x14ac:dyDescent="0.2">
      <c r="A1159">
        <v>74980226</v>
      </c>
      <c r="B1159">
        <v>2015</v>
      </c>
      <c r="C1159">
        <v>16.643068286260799</v>
      </c>
      <c r="D1159" t="s">
        <v>976</v>
      </c>
      <c r="E1159"/>
      <c r="F1159" t="s">
        <v>388</v>
      </c>
    </row>
    <row r="1160" spans="1:6" x14ac:dyDescent="0.2">
      <c r="A1160">
        <v>28371007</v>
      </c>
      <c r="B1160">
        <v>2020</v>
      </c>
      <c r="C1160">
        <v>21.131762887814599</v>
      </c>
      <c r="D1160" t="s">
        <v>796</v>
      </c>
      <c r="E1160" t="s">
        <v>229</v>
      </c>
      <c r="F1160" t="s">
        <v>230</v>
      </c>
    </row>
    <row r="1161" spans="1:6" x14ac:dyDescent="0.2">
      <c r="A1161">
        <v>28371007</v>
      </c>
      <c r="B1161">
        <v>2018</v>
      </c>
      <c r="C1161">
        <v>18.962396356417099</v>
      </c>
      <c r="D1161" t="s">
        <v>796</v>
      </c>
      <c r="E1161" t="s">
        <v>229</v>
      </c>
      <c r="F1161" t="s">
        <v>230</v>
      </c>
    </row>
    <row r="1162" spans="1:6" x14ac:dyDescent="0.2">
      <c r="A1162">
        <v>28371007</v>
      </c>
      <c r="B1162">
        <v>2016</v>
      </c>
      <c r="C1162">
        <v>20.206606879328</v>
      </c>
      <c r="D1162" t="s">
        <v>796</v>
      </c>
      <c r="E1162" t="s">
        <v>229</v>
      </c>
      <c r="F1162" t="s">
        <v>230</v>
      </c>
    </row>
    <row r="1163" spans="1:6" x14ac:dyDescent="0.2">
      <c r="A1163">
        <v>61853559</v>
      </c>
      <c r="B1163">
        <v>2019</v>
      </c>
      <c r="C1163">
        <v>36.042893281694198</v>
      </c>
      <c r="D1163" t="s">
        <v>288</v>
      </c>
      <c r="E1163" t="s">
        <v>55</v>
      </c>
      <c r="F1163" t="s">
        <v>7</v>
      </c>
    </row>
    <row r="1164" spans="1:6" x14ac:dyDescent="0.2">
      <c r="A1164">
        <v>61853559</v>
      </c>
      <c r="B1164">
        <v>2018</v>
      </c>
      <c r="C1164">
        <v>38.056755809879697</v>
      </c>
      <c r="D1164" t="s">
        <v>288</v>
      </c>
      <c r="E1164" t="s">
        <v>55</v>
      </c>
      <c r="F1164" t="s">
        <v>7</v>
      </c>
    </row>
    <row r="1165" spans="1:6" x14ac:dyDescent="0.2">
      <c r="A1165">
        <v>29608573</v>
      </c>
      <c r="B1165">
        <v>2020</v>
      </c>
      <c r="C1165">
        <v>67.594999999999999</v>
      </c>
      <c r="D1165" t="s">
        <v>984</v>
      </c>
      <c r="E1165" t="s">
        <v>470</v>
      </c>
      <c r="F1165" t="s">
        <v>1126</v>
      </c>
    </row>
    <row r="1166" spans="1:6" x14ac:dyDescent="0.2">
      <c r="A1166">
        <v>29608573</v>
      </c>
      <c r="B1166">
        <v>2019</v>
      </c>
      <c r="C1166">
        <v>63.8</v>
      </c>
      <c r="D1166" t="s">
        <v>984</v>
      </c>
      <c r="E1166" t="s">
        <v>470</v>
      </c>
      <c r="F1166" t="s">
        <v>1126</v>
      </c>
    </row>
    <row r="1167" spans="1:6" x14ac:dyDescent="0.2">
      <c r="A1167">
        <v>29608573</v>
      </c>
      <c r="B1167">
        <v>2018</v>
      </c>
      <c r="C1167">
        <v>70.998888888888899</v>
      </c>
      <c r="D1167" t="s">
        <v>984</v>
      </c>
      <c r="E1167" t="s">
        <v>470</v>
      </c>
      <c r="F1167" t="s">
        <v>1126</v>
      </c>
    </row>
    <row r="1168" spans="1:6" x14ac:dyDescent="0.2">
      <c r="A1168">
        <v>29608573</v>
      </c>
      <c r="B1168">
        <v>2017</v>
      </c>
      <c r="C1168">
        <v>53</v>
      </c>
      <c r="D1168" t="s">
        <v>984</v>
      </c>
      <c r="E1168" t="s">
        <v>470</v>
      </c>
      <c r="F1168" t="s">
        <v>1126</v>
      </c>
    </row>
    <row r="1169" spans="1:6" x14ac:dyDescent="0.2">
      <c r="A1169">
        <v>29608573</v>
      </c>
      <c r="B1169">
        <v>2016</v>
      </c>
      <c r="C1169">
        <v>47.497500000000002</v>
      </c>
      <c r="D1169" t="s">
        <v>984</v>
      </c>
      <c r="E1169" t="s">
        <v>470</v>
      </c>
      <c r="F1169" t="s">
        <v>1126</v>
      </c>
    </row>
    <row r="1170" spans="1:6" x14ac:dyDescent="0.2">
      <c r="A1170">
        <v>29608573</v>
      </c>
      <c r="B1170">
        <v>2015</v>
      </c>
      <c r="C1170">
        <v>45.798000000000002</v>
      </c>
      <c r="D1170" t="s">
        <v>984</v>
      </c>
      <c r="E1170" t="s">
        <v>470</v>
      </c>
      <c r="F1170" t="s">
        <v>1126</v>
      </c>
    </row>
    <row r="1171" spans="1:6" x14ac:dyDescent="0.2">
      <c r="A1171">
        <v>25564832</v>
      </c>
      <c r="B1171">
        <v>2018</v>
      </c>
      <c r="C1171">
        <v>60.375</v>
      </c>
      <c r="D1171" t="s">
        <v>1058</v>
      </c>
      <c r="E1171" t="s">
        <v>445</v>
      </c>
      <c r="F1171" t="s">
        <v>1126</v>
      </c>
    </row>
    <row r="1172" spans="1:6" x14ac:dyDescent="0.2">
      <c r="A1172">
        <v>25564832</v>
      </c>
      <c r="B1172">
        <v>2016</v>
      </c>
      <c r="C1172">
        <v>55</v>
      </c>
      <c r="D1172" t="s">
        <v>1058</v>
      </c>
      <c r="E1172" t="s">
        <v>445</v>
      </c>
      <c r="F1172" t="s">
        <v>1126</v>
      </c>
    </row>
    <row r="1173" spans="1:6" x14ac:dyDescent="0.2">
      <c r="A1173">
        <v>74532657</v>
      </c>
      <c r="B1173">
        <v>2020</v>
      </c>
      <c r="C1173">
        <v>36.404746485517997</v>
      </c>
      <c r="D1173" t="s">
        <v>936</v>
      </c>
      <c r="E1173" t="s">
        <v>18</v>
      </c>
      <c r="F1173" t="s">
        <v>19</v>
      </c>
    </row>
    <row r="1174" spans="1:6" x14ac:dyDescent="0.2">
      <c r="A1174">
        <v>74532657</v>
      </c>
      <c r="B1174">
        <v>2019</v>
      </c>
      <c r="C1174">
        <v>39.391641388608001</v>
      </c>
      <c r="D1174" t="s">
        <v>936</v>
      </c>
      <c r="E1174" t="s">
        <v>18</v>
      </c>
      <c r="F1174" t="s">
        <v>19</v>
      </c>
    </row>
    <row r="1175" spans="1:6" x14ac:dyDescent="0.2">
      <c r="A1175">
        <v>74532657</v>
      </c>
      <c r="B1175">
        <v>2017</v>
      </c>
      <c r="C1175">
        <v>35.397553516819599</v>
      </c>
      <c r="D1175" t="s">
        <v>936</v>
      </c>
      <c r="E1175" t="s">
        <v>18</v>
      </c>
      <c r="F1175" t="s">
        <v>19</v>
      </c>
    </row>
    <row r="1176" spans="1:6" x14ac:dyDescent="0.2">
      <c r="A1176">
        <v>52229630</v>
      </c>
      <c r="B1176">
        <v>2019</v>
      </c>
      <c r="C1176">
        <v>78.8</v>
      </c>
      <c r="D1176" t="s">
        <v>1082</v>
      </c>
      <c r="E1176" t="s">
        <v>721</v>
      </c>
      <c r="F1176" t="s">
        <v>1126</v>
      </c>
    </row>
    <row r="1177" spans="1:6" x14ac:dyDescent="0.2">
      <c r="A1177">
        <v>52229630</v>
      </c>
      <c r="B1177">
        <v>2018</v>
      </c>
      <c r="C1177">
        <v>67.5</v>
      </c>
      <c r="D1177" t="s">
        <v>1082</v>
      </c>
      <c r="E1177" t="s">
        <v>721</v>
      </c>
      <c r="F1177" t="s">
        <v>1126</v>
      </c>
    </row>
    <row r="1178" spans="1:6" x14ac:dyDescent="0.2">
      <c r="A1178">
        <v>52229630</v>
      </c>
      <c r="B1178">
        <v>2017</v>
      </c>
      <c r="C1178">
        <v>66.498333333333306</v>
      </c>
      <c r="D1178" t="s">
        <v>1082</v>
      </c>
      <c r="E1178" t="s">
        <v>721</v>
      </c>
      <c r="F1178" t="s">
        <v>1126</v>
      </c>
    </row>
    <row r="1179" spans="1:6" x14ac:dyDescent="0.2">
      <c r="A1179">
        <v>52229630</v>
      </c>
      <c r="B1179">
        <v>2014</v>
      </c>
      <c r="C1179">
        <v>39.6666666666667</v>
      </c>
      <c r="D1179" t="s">
        <v>1082</v>
      </c>
      <c r="E1179" t="s">
        <v>721</v>
      </c>
      <c r="F1179" t="s">
        <v>1126</v>
      </c>
    </row>
    <row r="1180" spans="1:6" x14ac:dyDescent="0.2">
      <c r="A1180">
        <v>44674065</v>
      </c>
      <c r="B1180">
        <v>2020</v>
      </c>
      <c r="C1180">
        <v>32.202952221554199</v>
      </c>
      <c r="D1180" t="s">
        <v>996</v>
      </c>
      <c r="E1180" t="s">
        <v>547</v>
      </c>
      <c r="F1180" t="s">
        <v>170</v>
      </c>
    </row>
    <row r="1181" spans="1:6" x14ac:dyDescent="0.2">
      <c r="A1181">
        <v>44674065</v>
      </c>
      <c r="B1181">
        <v>2019</v>
      </c>
      <c r="C1181">
        <v>28.939125697943599</v>
      </c>
      <c r="D1181" t="s">
        <v>996</v>
      </c>
      <c r="E1181" t="s">
        <v>547</v>
      </c>
      <c r="F1181" t="s">
        <v>170</v>
      </c>
    </row>
    <row r="1182" spans="1:6" x14ac:dyDescent="0.2">
      <c r="A1182">
        <v>81250931</v>
      </c>
      <c r="B1182">
        <v>2018</v>
      </c>
      <c r="C1182">
        <v>60.3333333333333</v>
      </c>
      <c r="D1182" t="s">
        <v>669</v>
      </c>
      <c r="E1182" t="s">
        <v>670</v>
      </c>
      <c r="F1182" t="s">
        <v>1126</v>
      </c>
    </row>
    <row r="1183" spans="1:6" x14ac:dyDescent="0.2">
      <c r="A1183">
        <v>49722391</v>
      </c>
      <c r="B1183">
        <v>2019</v>
      </c>
      <c r="C1183">
        <v>58.75</v>
      </c>
      <c r="D1183" t="s">
        <v>1037</v>
      </c>
      <c r="E1183" t="s">
        <v>665</v>
      </c>
      <c r="F1183" t="s">
        <v>1126</v>
      </c>
    </row>
    <row r="1184" spans="1:6" x14ac:dyDescent="0.2">
      <c r="A1184">
        <v>49722391</v>
      </c>
      <c r="B1184">
        <v>2016</v>
      </c>
      <c r="C1184">
        <v>59.1</v>
      </c>
      <c r="D1184" t="s">
        <v>1037</v>
      </c>
      <c r="E1184" t="s">
        <v>665</v>
      </c>
      <c r="F1184" t="s">
        <v>1126</v>
      </c>
    </row>
    <row r="1185" spans="1:6" x14ac:dyDescent="0.2">
      <c r="A1185">
        <v>54690567</v>
      </c>
      <c r="B1185">
        <v>2020</v>
      </c>
      <c r="C1185">
        <v>35.020547749707099</v>
      </c>
      <c r="D1185" t="s">
        <v>286</v>
      </c>
      <c r="E1185" t="s">
        <v>287</v>
      </c>
      <c r="F1185" t="s">
        <v>49</v>
      </c>
    </row>
    <row r="1186" spans="1:6" x14ac:dyDescent="0.2">
      <c r="A1186">
        <v>54690567</v>
      </c>
      <c r="B1186">
        <v>2019</v>
      </c>
      <c r="C1186">
        <v>32.554269553083003</v>
      </c>
      <c r="D1186" t="s">
        <v>286</v>
      </c>
      <c r="E1186" t="s">
        <v>287</v>
      </c>
      <c r="F1186" t="s">
        <v>49</v>
      </c>
    </row>
    <row r="1187" spans="1:6" x14ac:dyDescent="0.2">
      <c r="A1187">
        <v>54690567</v>
      </c>
      <c r="B1187">
        <v>2018</v>
      </c>
      <c r="C1187">
        <v>32.031497639345403</v>
      </c>
      <c r="D1187" t="s">
        <v>286</v>
      </c>
      <c r="E1187" t="s">
        <v>287</v>
      </c>
      <c r="F1187" t="s">
        <v>49</v>
      </c>
    </row>
    <row r="1188" spans="1:6" x14ac:dyDescent="0.2">
      <c r="A1188">
        <v>54690567</v>
      </c>
      <c r="B1188">
        <v>2017</v>
      </c>
      <c r="C1188">
        <v>30.454794247897699</v>
      </c>
      <c r="D1188" t="s">
        <v>286</v>
      </c>
      <c r="E1188" t="s">
        <v>287</v>
      </c>
      <c r="F1188" t="s">
        <v>49</v>
      </c>
    </row>
    <row r="1189" spans="1:6" x14ac:dyDescent="0.2">
      <c r="A1189">
        <v>54690567</v>
      </c>
      <c r="B1189">
        <v>2016</v>
      </c>
      <c r="C1189">
        <v>32.239754796231097</v>
      </c>
      <c r="D1189" t="s">
        <v>286</v>
      </c>
      <c r="E1189" t="s">
        <v>287</v>
      </c>
      <c r="F1189" t="s">
        <v>49</v>
      </c>
    </row>
    <row r="1190" spans="1:6" x14ac:dyDescent="0.2">
      <c r="A1190">
        <v>54690567</v>
      </c>
      <c r="B1190">
        <v>2015</v>
      </c>
      <c r="C1190">
        <v>23.387978142076499</v>
      </c>
      <c r="D1190" t="s">
        <v>286</v>
      </c>
      <c r="E1190" t="s">
        <v>287</v>
      </c>
      <c r="F1190" t="s">
        <v>49</v>
      </c>
    </row>
    <row r="1191" spans="1:6" x14ac:dyDescent="0.2">
      <c r="A1191">
        <v>54690567</v>
      </c>
      <c r="B1191">
        <v>2012</v>
      </c>
      <c r="C1191">
        <v>35.5555555555556</v>
      </c>
      <c r="D1191" t="s">
        <v>286</v>
      </c>
      <c r="E1191" t="s">
        <v>287</v>
      </c>
      <c r="F1191" t="s">
        <v>49</v>
      </c>
    </row>
    <row r="1192" spans="1:6" x14ac:dyDescent="0.2">
      <c r="A1192">
        <v>54690567</v>
      </c>
      <c r="B1192">
        <v>2011</v>
      </c>
      <c r="C1192">
        <v>28.840579710144901</v>
      </c>
      <c r="D1192" t="s">
        <v>286</v>
      </c>
      <c r="E1192" t="s">
        <v>287</v>
      </c>
      <c r="F1192" t="s">
        <v>49</v>
      </c>
    </row>
    <row r="1193" spans="1:6" x14ac:dyDescent="0.2">
      <c r="A1193">
        <v>46407158</v>
      </c>
      <c r="B1193">
        <v>2020</v>
      </c>
      <c r="C1193">
        <v>20.3330820564675</v>
      </c>
      <c r="D1193" t="s">
        <v>928</v>
      </c>
      <c r="E1193" t="s">
        <v>929</v>
      </c>
      <c r="F1193" t="s">
        <v>35</v>
      </c>
    </row>
    <row r="1194" spans="1:6" x14ac:dyDescent="0.2">
      <c r="A1194">
        <v>46407158</v>
      </c>
      <c r="B1194">
        <v>2019</v>
      </c>
      <c r="C1194">
        <v>33.522463448057202</v>
      </c>
      <c r="D1194" t="s">
        <v>928</v>
      </c>
      <c r="E1194" t="s">
        <v>929</v>
      </c>
      <c r="F1194" t="s">
        <v>35</v>
      </c>
    </row>
    <row r="1195" spans="1:6" x14ac:dyDescent="0.2">
      <c r="A1195">
        <v>46407158</v>
      </c>
      <c r="B1195">
        <v>2018</v>
      </c>
      <c r="C1195">
        <v>35.395964262054399</v>
      </c>
      <c r="D1195" t="s">
        <v>928</v>
      </c>
      <c r="E1195" t="s">
        <v>929</v>
      </c>
      <c r="F1195" t="s">
        <v>35</v>
      </c>
    </row>
    <row r="1196" spans="1:6" x14ac:dyDescent="0.2">
      <c r="A1196">
        <v>46407158</v>
      </c>
      <c r="B1196">
        <v>2017</v>
      </c>
      <c r="C1196">
        <v>32.787986623871099</v>
      </c>
      <c r="D1196" t="s">
        <v>928</v>
      </c>
      <c r="E1196" t="s">
        <v>929</v>
      </c>
      <c r="F1196" t="s">
        <v>35</v>
      </c>
    </row>
    <row r="1197" spans="1:6" x14ac:dyDescent="0.2">
      <c r="A1197">
        <v>46407158</v>
      </c>
      <c r="B1197">
        <v>2016</v>
      </c>
      <c r="C1197">
        <v>25.4445373065506</v>
      </c>
      <c r="D1197" t="s">
        <v>928</v>
      </c>
      <c r="E1197" t="s">
        <v>929</v>
      </c>
      <c r="F1197" t="s">
        <v>35</v>
      </c>
    </row>
    <row r="1198" spans="1:6" x14ac:dyDescent="0.2">
      <c r="A1198">
        <v>46407158</v>
      </c>
      <c r="B1198">
        <v>2015</v>
      </c>
      <c r="C1198">
        <v>23.5289002050928</v>
      </c>
      <c r="D1198" t="s">
        <v>928</v>
      </c>
      <c r="E1198" t="s">
        <v>929</v>
      </c>
      <c r="F1198" t="s">
        <v>35</v>
      </c>
    </row>
    <row r="1199" spans="1:6" x14ac:dyDescent="0.2">
      <c r="A1199">
        <v>46407158</v>
      </c>
      <c r="B1199">
        <v>2014</v>
      </c>
      <c r="C1199">
        <v>34.179643924858297</v>
      </c>
      <c r="D1199" t="s">
        <v>928</v>
      </c>
      <c r="E1199" t="s">
        <v>929</v>
      </c>
      <c r="F1199" t="s">
        <v>35</v>
      </c>
    </row>
    <row r="1200" spans="1:6" x14ac:dyDescent="0.2">
      <c r="A1200">
        <v>46407158</v>
      </c>
      <c r="B1200">
        <v>2013</v>
      </c>
      <c r="C1200">
        <v>55.140186915887803</v>
      </c>
      <c r="D1200" t="s">
        <v>928</v>
      </c>
      <c r="E1200" t="s">
        <v>929</v>
      </c>
      <c r="F1200" t="s">
        <v>35</v>
      </c>
    </row>
    <row r="1201" spans="1:6" x14ac:dyDescent="0.2">
      <c r="A1201">
        <v>31508174</v>
      </c>
      <c r="B1201">
        <v>2020</v>
      </c>
      <c r="C1201">
        <v>48.3</v>
      </c>
      <c r="D1201" t="s">
        <v>1071</v>
      </c>
      <c r="E1201" t="s">
        <v>570</v>
      </c>
      <c r="F1201" t="s">
        <v>1126</v>
      </c>
    </row>
    <row r="1202" spans="1:6" x14ac:dyDescent="0.2">
      <c r="A1202">
        <v>31508174</v>
      </c>
      <c r="B1202">
        <v>2019</v>
      </c>
      <c r="C1202">
        <v>60.8333333333333</v>
      </c>
      <c r="D1202" t="s">
        <v>1071</v>
      </c>
      <c r="E1202" t="s">
        <v>570</v>
      </c>
      <c r="F1202" t="s">
        <v>1126</v>
      </c>
    </row>
    <row r="1203" spans="1:6" x14ac:dyDescent="0.2">
      <c r="A1203">
        <v>31508174</v>
      </c>
      <c r="B1203">
        <v>2017</v>
      </c>
      <c r="C1203">
        <v>52.5</v>
      </c>
      <c r="D1203" t="s">
        <v>1071</v>
      </c>
      <c r="E1203" t="s">
        <v>570</v>
      </c>
      <c r="F1203" t="s">
        <v>1126</v>
      </c>
    </row>
    <row r="1204" spans="1:6" x14ac:dyDescent="0.2">
      <c r="A1204">
        <v>31508174</v>
      </c>
      <c r="B1204">
        <v>2016</v>
      </c>
      <c r="C1204">
        <v>44.8</v>
      </c>
      <c r="D1204" t="s">
        <v>1071</v>
      </c>
      <c r="E1204" t="s">
        <v>570</v>
      </c>
      <c r="F1204" t="s">
        <v>1126</v>
      </c>
    </row>
    <row r="1205" spans="1:6" x14ac:dyDescent="0.2">
      <c r="A1205">
        <v>31508174</v>
      </c>
      <c r="B1205">
        <v>2015</v>
      </c>
      <c r="C1205">
        <v>54.998333333333299</v>
      </c>
      <c r="D1205" t="s">
        <v>1071</v>
      </c>
      <c r="E1205" t="s">
        <v>570</v>
      </c>
      <c r="F1205" t="s">
        <v>1126</v>
      </c>
    </row>
    <row r="1206" spans="1:6" x14ac:dyDescent="0.2">
      <c r="A1206">
        <v>41185683</v>
      </c>
      <c r="B1206">
        <v>2020</v>
      </c>
      <c r="C1206">
        <v>51.75</v>
      </c>
      <c r="D1206" t="s">
        <v>965</v>
      </c>
      <c r="E1206" t="s">
        <v>494</v>
      </c>
      <c r="F1206" t="s">
        <v>1126</v>
      </c>
    </row>
    <row r="1207" spans="1:6" x14ac:dyDescent="0.2">
      <c r="A1207">
        <v>41185683</v>
      </c>
      <c r="B1207">
        <v>2019</v>
      </c>
      <c r="C1207">
        <v>64.1666666666667</v>
      </c>
      <c r="D1207" t="s">
        <v>965</v>
      </c>
      <c r="E1207" t="s">
        <v>494</v>
      </c>
      <c r="F1207" t="s">
        <v>1126</v>
      </c>
    </row>
    <row r="1208" spans="1:6" x14ac:dyDescent="0.2">
      <c r="A1208">
        <v>41185683</v>
      </c>
      <c r="B1208">
        <v>2018</v>
      </c>
      <c r="C1208">
        <v>58.454545454545503</v>
      </c>
      <c r="D1208" t="s">
        <v>965</v>
      </c>
      <c r="E1208" t="s">
        <v>494</v>
      </c>
      <c r="F1208" t="s">
        <v>1126</v>
      </c>
    </row>
    <row r="1209" spans="1:6" x14ac:dyDescent="0.2">
      <c r="A1209">
        <v>41185683</v>
      </c>
      <c r="B1209">
        <v>2017</v>
      </c>
      <c r="C1209">
        <v>79.013333333333307</v>
      </c>
      <c r="D1209" t="s">
        <v>965</v>
      </c>
      <c r="E1209" t="s">
        <v>494</v>
      </c>
      <c r="F1209" t="s">
        <v>1126</v>
      </c>
    </row>
    <row r="1210" spans="1:6" x14ac:dyDescent="0.2">
      <c r="A1210">
        <v>41185683</v>
      </c>
      <c r="B1210">
        <v>2016</v>
      </c>
      <c r="C1210">
        <v>49.3333333333333</v>
      </c>
      <c r="D1210" t="s">
        <v>965</v>
      </c>
      <c r="E1210" t="s">
        <v>494</v>
      </c>
      <c r="F1210" t="s">
        <v>1126</v>
      </c>
    </row>
    <row r="1211" spans="1:6" x14ac:dyDescent="0.2">
      <c r="A1211">
        <v>41185683</v>
      </c>
      <c r="B1211">
        <v>2015</v>
      </c>
      <c r="C1211">
        <v>54</v>
      </c>
      <c r="D1211" t="s">
        <v>965</v>
      </c>
      <c r="E1211" t="s">
        <v>494</v>
      </c>
      <c r="F1211" t="s">
        <v>1126</v>
      </c>
    </row>
    <row r="1212" spans="1:6" x14ac:dyDescent="0.2">
      <c r="A1212">
        <v>41185683</v>
      </c>
      <c r="B1212">
        <v>2014</v>
      </c>
      <c r="C1212">
        <v>60</v>
      </c>
      <c r="D1212" t="s">
        <v>965</v>
      </c>
      <c r="E1212" t="s">
        <v>494</v>
      </c>
      <c r="F1212" t="s">
        <v>1126</v>
      </c>
    </row>
    <row r="1213" spans="1:6" x14ac:dyDescent="0.2">
      <c r="A1213">
        <v>41185683</v>
      </c>
      <c r="B1213">
        <v>2013</v>
      </c>
      <c r="C1213">
        <v>46.25</v>
      </c>
      <c r="D1213" t="s">
        <v>965</v>
      </c>
      <c r="E1213" t="s">
        <v>494</v>
      </c>
      <c r="F1213" t="s">
        <v>1126</v>
      </c>
    </row>
    <row r="1214" spans="1:6" x14ac:dyDescent="0.2">
      <c r="A1214">
        <v>59307088</v>
      </c>
      <c r="B1214">
        <v>2020</v>
      </c>
      <c r="C1214">
        <v>55</v>
      </c>
      <c r="D1214" t="s">
        <v>1077</v>
      </c>
      <c r="E1214" t="s">
        <v>494</v>
      </c>
      <c r="F1214" t="s">
        <v>1126</v>
      </c>
    </row>
    <row r="1215" spans="1:6" x14ac:dyDescent="0.2">
      <c r="A1215">
        <v>59307088</v>
      </c>
      <c r="B1215">
        <v>2019</v>
      </c>
      <c r="C1215">
        <v>56.768181818181802</v>
      </c>
      <c r="D1215" t="s">
        <v>1077</v>
      </c>
      <c r="E1215" t="s">
        <v>494</v>
      </c>
      <c r="F1215" t="s">
        <v>1126</v>
      </c>
    </row>
    <row r="1216" spans="1:6" x14ac:dyDescent="0.2">
      <c r="A1216">
        <v>59307088</v>
      </c>
      <c r="B1216">
        <v>2018</v>
      </c>
      <c r="C1216">
        <v>57.3333333333333</v>
      </c>
      <c r="D1216" t="s">
        <v>1077</v>
      </c>
      <c r="E1216" t="s">
        <v>494</v>
      </c>
      <c r="F1216" t="s">
        <v>1126</v>
      </c>
    </row>
    <row r="1217" spans="1:6" x14ac:dyDescent="0.2">
      <c r="A1217">
        <v>59307088</v>
      </c>
      <c r="B1217">
        <v>2017</v>
      </c>
      <c r="C1217">
        <v>71.5</v>
      </c>
      <c r="D1217" t="s">
        <v>1077</v>
      </c>
      <c r="E1217" t="s">
        <v>494</v>
      </c>
      <c r="F1217" t="s">
        <v>1126</v>
      </c>
    </row>
    <row r="1218" spans="1:6" x14ac:dyDescent="0.2">
      <c r="A1218">
        <v>59307088</v>
      </c>
      <c r="B1218">
        <v>2016</v>
      </c>
      <c r="C1218">
        <v>52</v>
      </c>
      <c r="D1218" t="s">
        <v>1077</v>
      </c>
      <c r="E1218" t="s">
        <v>494</v>
      </c>
      <c r="F1218" t="s">
        <v>1126</v>
      </c>
    </row>
    <row r="1219" spans="1:6" x14ac:dyDescent="0.2">
      <c r="A1219">
        <v>59307088</v>
      </c>
      <c r="B1219">
        <v>2015</v>
      </c>
      <c r="C1219">
        <v>56.1666666666667</v>
      </c>
      <c r="D1219" t="s">
        <v>1077</v>
      </c>
      <c r="E1219" t="s">
        <v>494</v>
      </c>
      <c r="F1219" t="s">
        <v>1126</v>
      </c>
    </row>
    <row r="1220" spans="1:6" x14ac:dyDescent="0.2">
      <c r="A1220">
        <v>17597855</v>
      </c>
      <c r="B1220">
        <v>2019</v>
      </c>
      <c r="C1220">
        <v>53.3333333333333</v>
      </c>
      <c r="D1220" t="s">
        <v>838</v>
      </c>
      <c r="E1220" t="s">
        <v>474</v>
      </c>
      <c r="F1220" t="s">
        <v>1126</v>
      </c>
    </row>
    <row r="1221" spans="1:6" x14ac:dyDescent="0.2">
      <c r="A1221">
        <v>17597855</v>
      </c>
      <c r="B1221">
        <v>2016</v>
      </c>
      <c r="C1221">
        <v>45</v>
      </c>
      <c r="D1221" t="s">
        <v>838</v>
      </c>
      <c r="E1221" t="s">
        <v>474</v>
      </c>
      <c r="F1221" t="s">
        <v>1126</v>
      </c>
    </row>
    <row r="1222" spans="1:6" x14ac:dyDescent="0.2">
      <c r="A1222">
        <v>99488200</v>
      </c>
      <c r="B1222">
        <v>2020</v>
      </c>
      <c r="C1222">
        <v>72</v>
      </c>
      <c r="D1222" t="s">
        <v>575</v>
      </c>
      <c r="E1222" t="s">
        <v>123</v>
      </c>
      <c r="F1222" t="s">
        <v>1126</v>
      </c>
    </row>
    <row r="1223" spans="1:6" x14ac:dyDescent="0.2">
      <c r="A1223">
        <v>99488200</v>
      </c>
      <c r="B1223">
        <v>2019</v>
      </c>
      <c r="C1223">
        <v>57.915833333333303</v>
      </c>
      <c r="D1223" t="s">
        <v>575</v>
      </c>
      <c r="E1223" t="s">
        <v>123</v>
      </c>
      <c r="F1223" t="s">
        <v>1126</v>
      </c>
    </row>
    <row r="1224" spans="1:6" x14ac:dyDescent="0.2">
      <c r="A1224">
        <v>99488200</v>
      </c>
      <c r="B1224">
        <v>2018</v>
      </c>
      <c r="C1224">
        <v>59.461538461538503</v>
      </c>
      <c r="D1224" t="s">
        <v>575</v>
      </c>
      <c r="E1224" t="s">
        <v>123</v>
      </c>
      <c r="F1224" t="s">
        <v>1126</v>
      </c>
    </row>
    <row r="1225" spans="1:6" x14ac:dyDescent="0.2">
      <c r="A1225">
        <v>99488200</v>
      </c>
      <c r="B1225">
        <v>2017</v>
      </c>
      <c r="C1225">
        <v>56.998888888888899</v>
      </c>
      <c r="D1225" t="s">
        <v>575</v>
      </c>
      <c r="E1225" t="s">
        <v>123</v>
      </c>
      <c r="F1225" t="s">
        <v>1126</v>
      </c>
    </row>
    <row r="1226" spans="1:6" x14ac:dyDescent="0.2">
      <c r="A1226">
        <v>99488200</v>
      </c>
      <c r="B1226">
        <v>2016</v>
      </c>
      <c r="C1226">
        <v>46.452307692307699</v>
      </c>
      <c r="D1226" t="s">
        <v>575</v>
      </c>
      <c r="E1226" t="s">
        <v>123</v>
      </c>
      <c r="F1226" t="s">
        <v>1126</v>
      </c>
    </row>
    <row r="1227" spans="1:6" x14ac:dyDescent="0.2">
      <c r="A1227">
        <v>99488200</v>
      </c>
      <c r="B1227">
        <v>2015</v>
      </c>
      <c r="C1227">
        <v>40.428571428571402</v>
      </c>
      <c r="D1227" t="s">
        <v>575</v>
      </c>
      <c r="E1227" t="s">
        <v>123</v>
      </c>
      <c r="F1227" t="s">
        <v>1126</v>
      </c>
    </row>
    <row r="1228" spans="1:6" x14ac:dyDescent="0.2">
      <c r="A1228">
        <v>99488200</v>
      </c>
      <c r="B1228">
        <v>2014</v>
      </c>
      <c r="C1228">
        <v>55.5</v>
      </c>
      <c r="D1228" t="s">
        <v>575</v>
      </c>
      <c r="E1228" t="s">
        <v>123</v>
      </c>
      <c r="F1228" t="s">
        <v>1126</v>
      </c>
    </row>
    <row r="1229" spans="1:6" x14ac:dyDescent="0.2">
      <c r="A1229">
        <v>99488200</v>
      </c>
      <c r="B1229">
        <v>2010</v>
      </c>
      <c r="C1229">
        <v>54</v>
      </c>
      <c r="D1229" t="s">
        <v>575</v>
      </c>
      <c r="E1229" t="s">
        <v>123</v>
      </c>
      <c r="F1229" t="s">
        <v>1126</v>
      </c>
    </row>
    <row r="1230" spans="1:6" x14ac:dyDescent="0.2">
      <c r="A1230">
        <v>86866187</v>
      </c>
      <c r="B1230">
        <v>2020</v>
      </c>
      <c r="C1230">
        <v>17.868882595054</v>
      </c>
      <c r="D1230" t="s">
        <v>778</v>
      </c>
      <c r="E1230" t="s">
        <v>779</v>
      </c>
      <c r="F1230" t="s">
        <v>35</v>
      </c>
    </row>
    <row r="1231" spans="1:6" x14ac:dyDescent="0.2">
      <c r="A1231">
        <v>86866187</v>
      </c>
      <c r="B1231">
        <v>2019</v>
      </c>
      <c r="C1231">
        <v>25.940271124248302</v>
      </c>
      <c r="D1231" t="s">
        <v>778</v>
      </c>
      <c r="E1231" t="s">
        <v>779</v>
      </c>
      <c r="F1231" t="s">
        <v>35</v>
      </c>
    </row>
    <row r="1232" spans="1:6" x14ac:dyDescent="0.2">
      <c r="A1232">
        <v>86866187</v>
      </c>
      <c r="B1232">
        <v>2018</v>
      </c>
      <c r="C1232">
        <v>29.542890906160999</v>
      </c>
      <c r="D1232" t="s">
        <v>778</v>
      </c>
      <c r="E1232" t="s">
        <v>779</v>
      </c>
      <c r="F1232" t="s">
        <v>35</v>
      </c>
    </row>
    <row r="1233" spans="1:6" x14ac:dyDescent="0.2">
      <c r="A1233">
        <v>86866187</v>
      </c>
      <c r="B1233">
        <v>2017</v>
      </c>
      <c r="C1233">
        <v>33.716643657933503</v>
      </c>
      <c r="D1233" t="s">
        <v>778</v>
      </c>
      <c r="E1233" t="s">
        <v>779</v>
      </c>
      <c r="F1233" t="s">
        <v>35</v>
      </c>
    </row>
    <row r="1234" spans="1:6" x14ac:dyDescent="0.2">
      <c r="A1234">
        <v>86866187</v>
      </c>
      <c r="B1234">
        <v>2016</v>
      </c>
      <c r="C1234">
        <v>21.161581437093702</v>
      </c>
      <c r="D1234" t="s">
        <v>778</v>
      </c>
      <c r="E1234" t="s">
        <v>779</v>
      </c>
      <c r="F1234" t="s">
        <v>35</v>
      </c>
    </row>
    <row r="1235" spans="1:6" x14ac:dyDescent="0.2">
      <c r="A1235">
        <v>86866187</v>
      </c>
      <c r="B1235">
        <v>2015</v>
      </c>
      <c r="C1235">
        <v>26.426530163615201</v>
      </c>
      <c r="D1235" t="s">
        <v>778</v>
      </c>
      <c r="E1235" t="s">
        <v>779</v>
      </c>
      <c r="F1235" t="s">
        <v>35</v>
      </c>
    </row>
    <row r="1236" spans="1:6" x14ac:dyDescent="0.2">
      <c r="A1236">
        <v>96133010</v>
      </c>
      <c r="B1236">
        <v>2020</v>
      </c>
      <c r="C1236">
        <v>35.334262391778999</v>
      </c>
      <c r="D1236" t="s">
        <v>246</v>
      </c>
      <c r="E1236" t="s">
        <v>247</v>
      </c>
      <c r="F1236" t="s">
        <v>7</v>
      </c>
    </row>
    <row r="1237" spans="1:6" x14ac:dyDescent="0.2">
      <c r="A1237">
        <v>96133010</v>
      </c>
      <c r="B1237">
        <v>2019</v>
      </c>
      <c r="C1237">
        <v>33.926174211692</v>
      </c>
      <c r="D1237" t="s">
        <v>246</v>
      </c>
      <c r="E1237" t="s">
        <v>247</v>
      </c>
      <c r="F1237" t="s">
        <v>7</v>
      </c>
    </row>
    <row r="1238" spans="1:6" x14ac:dyDescent="0.2">
      <c r="A1238">
        <v>96133010</v>
      </c>
      <c r="B1238">
        <v>2018</v>
      </c>
      <c r="C1238">
        <v>34.835504913164598</v>
      </c>
      <c r="D1238" t="s">
        <v>246</v>
      </c>
      <c r="E1238" t="s">
        <v>247</v>
      </c>
      <c r="F1238" t="s">
        <v>7</v>
      </c>
    </row>
    <row r="1239" spans="1:6" x14ac:dyDescent="0.2">
      <c r="A1239">
        <v>96133010</v>
      </c>
      <c r="B1239">
        <v>2017</v>
      </c>
      <c r="C1239">
        <v>30.7368637110016</v>
      </c>
      <c r="D1239" t="s">
        <v>246</v>
      </c>
      <c r="E1239" t="s">
        <v>247</v>
      </c>
      <c r="F1239" t="s">
        <v>7</v>
      </c>
    </row>
    <row r="1240" spans="1:6" x14ac:dyDescent="0.2">
      <c r="A1240">
        <v>96133010</v>
      </c>
      <c r="B1240">
        <v>2016</v>
      </c>
      <c r="C1240">
        <v>27.222159155409202</v>
      </c>
      <c r="D1240" t="s">
        <v>246</v>
      </c>
      <c r="E1240" t="s">
        <v>247</v>
      </c>
      <c r="F1240" t="s">
        <v>7</v>
      </c>
    </row>
    <row r="1241" spans="1:6" x14ac:dyDescent="0.2">
      <c r="A1241">
        <v>96133010</v>
      </c>
      <c r="B1241">
        <v>2015</v>
      </c>
      <c r="C1241">
        <v>25.601092896174901</v>
      </c>
      <c r="D1241" t="s">
        <v>246</v>
      </c>
      <c r="E1241" t="s">
        <v>247</v>
      </c>
      <c r="F1241" t="s">
        <v>7</v>
      </c>
    </row>
    <row r="1242" spans="1:6" x14ac:dyDescent="0.2">
      <c r="A1242">
        <v>96133010</v>
      </c>
      <c r="B1242">
        <v>2014</v>
      </c>
      <c r="C1242">
        <v>31.977139746904299</v>
      </c>
      <c r="D1242" t="s">
        <v>246</v>
      </c>
      <c r="E1242" t="s">
        <v>247</v>
      </c>
      <c r="F1242" t="s">
        <v>7</v>
      </c>
    </row>
    <row r="1243" spans="1:6" x14ac:dyDescent="0.2">
      <c r="A1243">
        <v>96133010</v>
      </c>
      <c r="B1243">
        <v>2013</v>
      </c>
      <c r="C1243">
        <v>30.303030303030301</v>
      </c>
      <c r="D1243" t="s">
        <v>246</v>
      </c>
      <c r="E1243" t="s">
        <v>247</v>
      </c>
      <c r="F1243" t="s">
        <v>7</v>
      </c>
    </row>
    <row r="1244" spans="1:6" x14ac:dyDescent="0.2">
      <c r="A1244">
        <v>96133010</v>
      </c>
      <c r="B1244">
        <v>2012</v>
      </c>
      <c r="C1244">
        <v>30.8641975308642</v>
      </c>
      <c r="D1244" t="s">
        <v>246</v>
      </c>
      <c r="E1244" t="s">
        <v>247</v>
      </c>
      <c r="F1244" t="s">
        <v>7</v>
      </c>
    </row>
    <row r="1245" spans="1:6" x14ac:dyDescent="0.2">
      <c r="A1245">
        <v>96133010</v>
      </c>
      <c r="B1245">
        <v>2011</v>
      </c>
      <c r="C1245">
        <v>32.318840579710098</v>
      </c>
      <c r="D1245" t="s">
        <v>246</v>
      </c>
      <c r="E1245" t="s">
        <v>247</v>
      </c>
      <c r="F1245" t="s">
        <v>7</v>
      </c>
    </row>
    <row r="1246" spans="1:6" x14ac:dyDescent="0.2">
      <c r="A1246">
        <v>83288537</v>
      </c>
      <c r="B1246">
        <v>2020</v>
      </c>
      <c r="C1246">
        <v>56.455278677824701</v>
      </c>
      <c r="D1246" t="s">
        <v>301</v>
      </c>
      <c r="E1246" t="s">
        <v>302</v>
      </c>
      <c r="F1246" t="s">
        <v>33</v>
      </c>
    </row>
    <row r="1247" spans="1:6" x14ac:dyDescent="0.2">
      <c r="A1247">
        <v>83288537</v>
      </c>
      <c r="B1247">
        <v>2018</v>
      </c>
      <c r="C1247">
        <v>62.046276953280902</v>
      </c>
      <c r="D1247" t="s">
        <v>301</v>
      </c>
      <c r="E1247" t="s">
        <v>302</v>
      </c>
      <c r="F1247" t="s">
        <v>33</v>
      </c>
    </row>
    <row r="1248" spans="1:6" x14ac:dyDescent="0.2">
      <c r="A1248">
        <v>83288537</v>
      </c>
      <c r="B1248">
        <v>2015</v>
      </c>
      <c r="C1248">
        <v>52.481930272108798</v>
      </c>
      <c r="D1248" t="s">
        <v>301</v>
      </c>
      <c r="E1248" t="s">
        <v>302</v>
      </c>
      <c r="F1248" t="s">
        <v>33</v>
      </c>
    </row>
    <row r="1249" spans="1:6" x14ac:dyDescent="0.2">
      <c r="A1249">
        <v>83288537</v>
      </c>
      <c r="B1249">
        <v>2014</v>
      </c>
      <c r="C1249">
        <v>59.885756403169303</v>
      </c>
      <c r="D1249" t="s">
        <v>301</v>
      </c>
      <c r="E1249" t="s">
        <v>302</v>
      </c>
      <c r="F1249" t="s">
        <v>33</v>
      </c>
    </row>
    <row r="1250" spans="1:6" x14ac:dyDescent="0.2">
      <c r="A1250">
        <v>67096794</v>
      </c>
      <c r="B1250">
        <v>2017</v>
      </c>
      <c r="C1250">
        <v>37.841468875951598</v>
      </c>
      <c r="D1250" t="s">
        <v>318</v>
      </c>
      <c r="E1250" t="s">
        <v>132</v>
      </c>
      <c r="F1250" t="s">
        <v>7</v>
      </c>
    </row>
    <row r="1251" spans="1:6" x14ac:dyDescent="0.2">
      <c r="A1251">
        <v>31378148</v>
      </c>
      <c r="B1251">
        <v>2020</v>
      </c>
      <c r="C1251">
        <v>65.714285714285694</v>
      </c>
      <c r="D1251" t="s">
        <v>817</v>
      </c>
      <c r="E1251" t="s">
        <v>5</v>
      </c>
      <c r="F1251" t="s">
        <v>1126</v>
      </c>
    </row>
    <row r="1252" spans="1:6" x14ac:dyDescent="0.2">
      <c r="A1252">
        <v>31378148</v>
      </c>
      <c r="B1252">
        <v>2019</v>
      </c>
      <c r="C1252">
        <v>53.2</v>
      </c>
      <c r="D1252" t="s">
        <v>817</v>
      </c>
      <c r="E1252" t="s">
        <v>5</v>
      </c>
      <c r="F1252" t="s">
        <v>1126</v>
      </c>
    </row>
    <row r="1253" spans="1:6" x14ac:dyDescent="0.2">
      <c r="A1253">
        <v>31378148</v>
      </c>
      <c r="B1253">
        <v>2018</v>
      </c>
      <c r="C1253">
        <v>49.1666666666667</v>
      </c>
      <c r="D1253" t="s">
        <v>817</v>
      </c>
      <c r="E1253" t="s">
        <v>5</v>
      </c>
      <c r="F1253" t="s">
        <v>1126</v>
      </c>
    </row>
    <row r="1254" spans="1:6" x14ac:dyDescent="0.2">
      <c r="A1254">
        <v>31378148</v>
      </c>
      <c r="B1254">
        <v>2016</v>
      </c>
      <c r="C1254">
        <v>41.498333333333299</v>
      </c>
      <c r="D1254" t="s">
        <v>817</v>
      </c>
      <c r="E1254" t="s">
        <v>5</v>
      </c>
      <c r="F1254" t="s">
        <v>1126</v>
      </c>
    </row>
    <row r="1255" spans="1:6" x14ac:dyDescent="0.2">
      <c r="A1255">
        <v>66011868</v>
      </c>
      <c r="B1255">
        <v>2019</v>
      </c>
      <c r="C1255">
        <v>65.887777777777799</v>
      </c>
      <c r="D1255" t="s">
        <v>773</v>
      </c>
      <c r="E1255" t="s">
        <v>5</v>
      </c>
      <c r="F1255" t="s">
        <v>1126</v>
      </c>
    </row>
    <row r="1256" spans="1:6" x14ac:dyDescent="0.2">
      <c r="A1256">
        <v>66011868</v>
      </c>
      <c r="B1256">
        <v>2018</v>
      </c>
      <c r="C1256">
        <v>77</v>
      </c>
      <c r="D1256" t="s">
        <v>773</v>
      </c>
      <c r="E1256" t="s">
        <v>5</v>
      </c>
      <c r="F1256" t="s">
        <v>1126</v>
      </c>
    </row>
    <row r="1257" spans="1:6" x14ac:dyDescent="0.2">
      <c r="A1257">
        <v>66011868</v>
      </c>
      <c r="B1257">
        <v>2017</v>
      </c>
      <c r="C1257">
        <v>55.622500000000002</v>
      </c>
      <c r="D1257" t="s">
        <v>773</v>
      </c>
      <c r="E1257" t="s">
        <v>5</v>
      </c>
      <c r="F1257" t="s">
        <v>1126</v>
      </c>
    </row>
    <row r="1258" spans="1:6" x14ac:dyDescent="0.2">
      <c r="A1258">
        <v>66011868</v>
      </c>
      <c r="B1258">
        <v>2016</v>
      </c>
      <c r="C1258">
        <v>56.142857142857203</v>
      </c>
      <c r="D1258" t="s">
        <v>773</v>
      </c>
      <c r="E1258" t="s">
        <v>5</v>
      </c>
      <c r="F1258" t="s">
        <v>1126</v>
      </c>
    </row>
    <row r="1259" spans="1:6" x14ac:dyDescent="0.2">
      <c r="A1259">
        <v>48403564</v>
      </c>
      <c r="B1259">
        <v>2020</v>
      </c>
      <c r="C1259">
        <v>32.566072943549898</v>
      </c>
      <c r="D1259" t="s">
        <v>637</v>
      </c>
      <c r="E1259" t="s">
        <v>638</v>
      </c>
      <c r="F1259" t="s">
        <v>83</v>
      </c>
    </row>
    <row r="1260" spans="1:6" x14ac:dyDescent="0.2">
      <c r="A1260">
        <v>50110928</v>
      </c>
      <c r="B1260">
        <v>2020</v>
      </c>
      <c r="C1260">
        <v>73.688531178883196</v>
      </c>
      <c r="D1260" t="s">
        <v>421</v>
      </c>
      <c r="E1260" t="s">
        <v>422</v>
      </c>
      <c r="F1260" t="s">
        <v>423</v>
      </c>
    </row>
    <row r="1261" spans="1:6" x14ac:dyDescent="0.2">
      <c r="A1261">
        <v>50110928</v>
      </c>
      <c r="B1261">
        <v>2019</v>
      </c>
      <c r="C1261">
        <v>41.034223789435401</v>
      </c>
      <c r="D1261" t="s">
        <v>421</v>
      </c>
      <c r="E1261" t="s">
        <v>422</v>
      </c>
      <c r="F1261" t="s">
        <v>423</v>
      </c>
    </row>
    <row r="1262" spans="1:6" x14ac:dyDescent="0.2">
      <c r="A1262">
        <v>50110928</v>
      </c>
      <c r="B1262">
        <v>2018</v>
      </c>
      <c r="C1262">
        <v>58.300328311262597</v>
      </c>
      <c r="D1262" t="s">
        <v>421</v>
      </c>
      <c r="E1262" t="s">
        <v>422</v>
      </c>
      <c r="F1262" t="s">
        <v>423</v>
      </c>
    </row>
    <row r="1263" spans="1:6" x14ac:dyDescent="0.2">
      <c r="A1263">
        <v>69437621</v>
      </c>
      <c r="B1263">
        <v>2019</v>
      </c>
      <c r="C1263">
        <v>55</v>
      </c>
      <c r="D1263" t="s">
        <v>1069</v>
      </c>
      <c r="E1263" t="s">
        <v>494</v>
      </c>
      <c r="F1263" t="s">
        <v>1126</v>
      </c>
    </row>
    <row r="1264" spans="1:6" x14ac:dyDescent="0.2">
      <c r="A1264">
        <v>69437621</v>
      </c>
      <c r="B1264">
        <v>2016</v>
      </c>
      <c r="C1264">
        <v>48.997999999999998</v>
      </c>
      <c r="D1264" t="s">
        <v>1069</v>
      </c>
      <c r="E1264" t="s">
        <v>494</v>
      </c>
      <c r="F1264" t="s">
        <v>1126</v>
      </c>
    </row>
    <row r="1265" spans="1:6" x14ac:dyDescent="0.2">
      <c r="A1265">
        <v>69437621</v>
      </c>
      <c r="B1265">
        <v>2014</v>
      </c>
      <c r="C1265">
        <v>55.497500000000002</v>
      </c>
      <c r="D1265" t="s">
        <v>1069</v>
      </c>
      <c r="E1265" t="s">
        <v>494</v>
      </c>
      <c r="F1265" t="s">
        <v>1126</v>
      </c>
    </row>
    <row r="1266" spans="1:6" x14ac:dyDescent="0.2">
      <c r="A1266">
        <v>35143783</v>
      </c>
      <c r="B1266">
        <v>2020</v>
      </c>
      <c r="C1266">
        <v>60.5196129671343</v>
      </c>
      <c r="D1266" t="s">
        <v>915</v>
      </c>
      <c r="E1266" t="s">
        <v>916</v>
      </c>
      <c r="F1266" t="s">
        <v>232</v>
      </c>
    </row>
    <row r="1267" spans="1:6" x14ac:dyDescent="0.2">
      <c r="A1267">
        <v>35143783</v>
      </c>
      <c r="B1267">
        <v>2019</v>
      </c>
      <c r="C1267">
        <v>54.099785832083398</v>
      </c>
      <c r="D1267" t="s">
        <v>915</v>
      </c>
      <c r="E1267" t="s">
        <v>916</v>
      </c>
      <c r="F1267" t="s">
        <v>232</v>
      </c>
    </row>
    <row r="1268" spans="1:6" x14ac:dyDescent="0.2">
      <c r="A1268">
        <v>35143783</v>
      </c>
      <c r="B1268">
        <v>2018</v>
      </c>
      <c r="C1268">
        <v>75.647164155864402</v>
      </c>
      <c r="D1268" t="s">
        <v>915</v>
      </c>
      <c r="E1268" t="s">
        <v>916</v>
      </c>
      <c r="F1268" t="s">
        <v>232</v>
      </c>
    </row>
    <row r="1269" spans="1:6" x14ac:dyDescent="0.2">
      <c r="A1269">
        <v>35143783</v>
      </c>
      <c r="B1269">
        <v>2016</v>
      </c>
      <c r="C1269">
        <v>43.847201725508</v>
      </c>
      <c r="D1269" t="s">
        <v>915</v>
      </c>
      <c r="E1269" t="s">
        <v>916</v>
      </c>
      <c r="F1269" t="s">
        <v>232</v>
      </c>
    </row>
    <row r="1270" spans="1:6" x14ac:dyDescent="0.2">
      <c r="A1270">
        <v>35143783</v>
      </c>
      <c r="B1270">
        <v>2015</v>
      </c>
      <c r="C1270">
        <v>38.797814207650298</v>
      </c>
      <c r="D1270" t="s">
        <v>915</v>
      </c>
      <c r="E1270" t="s">
        <v>916</v>
      </c>
      <c r="F1270" t="s">
        <v>232</v>
      </c>
    </row>
    <row r="1271" spans="1:6" x14ac:dyDescent="0.2">
      <c r="A1271">
        <v>35143783</v>
      </c>
      <c r="B1271">
        <v>2013</v>
      </c>
      <c r="C1271">
        <v>41.082251082251098</v>
      </c>
      <c r="D1271" t="s">
        <v>915</v>
      </c>
      <c r="E1271" t="s">
        <v>916</v>
      </c>
      <c r="F1271" t="s">
        <v>232</v>
      </c>
    </row>
    <row r="1272" spans="1:6" x14ac:dyDescent="0.2">
      <c r="A1272">
        <v>68835171</v>
      </c>
      <c r="B1272">
        <v>2017</v>
      </c>
      <c r="C1272">
        <v>44.247032070931901</v>
      </c>
      <c r="D1272" t="s">
        <v>942</v>
      </c>
      <c r="E1272" t="s">
        <v>52</v>
      </c>
      <c r="F1272" t="s">
        <v>33</v>
      </c>
    </row>
    <row r="1273" spans="1:6" x14ac:dyDescent="0.2">
      <c r="A1273">
        <v>54576097</v>
      </c>
      <c r="B1273">
        <v>2020</v>
      </c>
      <c r="C1273">
        <v>14.3490640940965</v>
      </c>
      <c r="D1273" t="s">
        <v>245</v>
      </c>
      <c r="E1273" t="s">
        <v>60</v>
      </c>
      <c r="F1273" t="s">
        <v>42</v>
      </c>
    </row>
    <row r="1274" spans="1:6" x14ac:dyDescent="0.2">
      <c r="A1274">
        <v>54576097</v>
      </c>
      <c r="B1274">
        <v>2019</v>
      </c>
      <c r="C1274">
        <v>13.542125476196</v>
      </c>
      <c r="D1274" t="s">
        <v>245</v>
      </c>
      <c r="E1274" t="s">
        <v>60</v>
      </c>
      <c r="F1274" t="s">
        <v>42</v>
      </c>
    </row>
    <row r="1275" spans="1:6" x14ac:dyDescent="0.2">
      <c r="A1275">
        <v>54576097</v>
      </c>
      <c r="B1275">
        <v>2018</v>
      </c>
      <c r="C1275">
        <v>15.9137071043025</v>
      </c>
      <c r="D1275" t="s">
        <v>245</v>
      </c>
      <c r="E1275" t="s">
        <v>60</v>
      </c>
      <c r="F1275" t="s">
        <v>42</v>
      </c>
    </row>
    <row r="1276" spans="1:6" x14ac:dyDescent="0.2">
      <c r="A1276">
        <v>54576097</v>
      </c>
      <c r="B1276">
        <v>2017</v>
      </c>
      <c r="C1276">
        <v>13.175318682200601</v>
      </c>
      <c r="D1276" t="s">
        <v>245</v>
      </c>
      <c r="E1276" t="s">
        <v>60</v>
      </c>
      <c r="F1276" t="s">
        <v>42</v>
      </c>
    </row>
    <row r="1277" spans="1:6" x14ac:dyDescent="0.2">
      <c r="A1277">
        <v>54576097</v>
      </c>
      <c r="B1277">
        <v>2016</v>
      </c>
      <c r="C1277">
        <v>12.3243883532353</v>
      </c>
      <c r="D1277" t="s">
        <v>245</v>
      </c>
      <c r="E1277" t="s">
        <v>60</v>
      </c>
      <c r="F1277" t="s">
        <v>42</v>
      </c>
    </row>
    <row r="1278" spans="1:6" x14ac:dyDescent="0.2">
      <c r="A1278">
        <v>54576097</v>
      </c>
      <c r="B1278">
        <v>2015</v>
      </c>
      <c r="C1278">
        <v>13.539703188467399</v>
      </c>
      <c r="D1278" t="s">
        <v>245</v>
      </c>
      <c r="E1278" t="s">
        <v>60</v>
      </c>
      <c r="F1278" t="s">
        <v>42</v>
      </c>
    </row>
    <row r="1279" spans="1:6" x14ac:dyDescent="0.2">
      <c r="A1279">
        <v>54576097</v>
      </c>
      <c r="B1279">
        <v>2014</v>
      </c>
      <c r="C1279">
        <v>14.2180873795983</v>
      </c>
      <c r="D1279" t="s">
        <v>245</v>
      </c>
      <c r="E1279" t="s">
        <v>60</v>
      </c>
      <c r="F1279" t="s">
        <v>42</v>
      </c>
    </row>
    <row r="1280" spans="1:6" x14ac:dyDescent="0.2">
      <c r="A1280">
        <v>54576097</v>
      </c>
      <c r="B1280">
        <v>2013</v>
      </c>
      <c r="C1280">
        <v>12.5379939209726</v>
      </c>
      <c r="D1280" t="s">
        <v>245</v>
      </c>
      <c r="E1280" t="s">
        <v>60</v>
      </c>
      <c r="F1280" t="s">
        <v>42</v>
      </c>
    </row>
    <row r="1281" spans="1:6" x14ac:dyDescent="0.2">
      <c r="A1281">
        <v>54576097</v>
      </c>
      <c r="B1281">
        <v>2012</v>
      </c>
      <c r="C1281">
        <v>16.195856873823001</v>
      </c>
      <c r="D1281" t="s">
        <v>245</v>
      </c>
      <c r="E1281" t="s">
        <v>60</v>
      </c>
      <c r="F1281" t="s">
        <v>42</v>
      </c>
    </row>
    <row r="1282" spans="1:6" x14ac:dyDescent="0.2">
      <c r="A1282">
        <v>54576097</v>
      </c>
      <c r="B1282">
        <v>2011</v>
      </c>
      <c r="C1282">
        <v>29.197080291970799</v>
      </c>
      <c r="D1282" t="s">
        <v>245</v>
      </c>
      <c r="E1282" t="s">
        <v>60</v>
      </c>
      <c r="F1282" t="s">
        <v>42</v>
      </c>
    </row>
    <row r="1283" spans="1:6" x14ac:dyDescent="0.2">
      <c r="A1283">
        <v>19100097</v>
      </c>
      <c r="B1283">
        <v>2020</v>
      </c>
      <c r="C1283">
        <v>12.5470010659932</v>
      </c>
      <c r="D1283" t="s">
        <v>59</v>
      </c>
      <c r="E1283" t="s">
        <v>60</v>
      </c>
      <c r="F1283" t="s">
        <v>42</v>
      </c>
    </row>
    <row r="1284" spans="1:6" x14ac:dyDescent="0.2">
      <c r="A1284">
        <v>19100097</v>
      </c>
      <c r="B1284">
        <v>2019</v>
      </c>
      <c r="C1284">
        <v>13.411299216118699</v>
      </c>
      <c r="D1284" t="s">
        <v>59</v>
      </c>
      <c r="E1284" t="s">
        <v>60</v>
      </c>
      <c r="F1284" t="s">
        <v>42</v>
      </c>
    </row>
    <row r="1285" spans="1:6" x14ac:dyDescent="0.2">
      <c r="A1285">
        <v>19100097</v>
      </c>
      <c r="B1285">
        <v>2018</v>
      </c>
      <c r="C1285">
        <v>13.708328260349999</v>
      </c>
      <c r="D1285" t="s">
        <v>59</v>
      </c>
      <c r="E1285" t="s">
        <v>60</v>
      </c>
      <c r="F1285" t="s">
        <v>42</v>
      </c>
    </row>
    <row r="1286" spans="1:6" x14ac:dyDescent="0.2">
      <c r="A1286">
        <v>19100097</v>
      </c>
      <c r="B1286">
        <v>2017</v>
      </c>
      <c r="C1286">
        <v>13.0549350597237</v>
      </c>
      <c r="D1286" t="s">
        <v>59</v>
      </c>
      <c r="E1286" t="s">
        <v>60</v>
      </c>
      <c r="F1286" t="s">
        <v>42</v>
      </c>
    </row>
    <row r="1287" spans="1:6" x14ac:dyDescent="0.2">
      <c r="A1287">
        <v>19100097</v>
      </c>
      <c r="B1287">
        <v>2016</v>
      </c>
      <c r="C1287">
        <v>12.3679374286884</v>
      </c>
      <c r="D1287" t="s">
        <v>59</v>
      </c>
      <c r="E1287" t="s">
        <v>60</v>
      </c>
      <c r="F1287" t="s">
        <v>42</v>
      </c>
    </row>
    <row r="1288" spans="1:6" x14ac:dyDescent="0.2">
      <c r="A1288">
        <v>19100097</v>
      </c>
      <c r="B1288">
        <v>2015</v>
      </c>
      <c r="C1288">
        <v>10.460084424031599</v>
      </c>
      <c r="D1288" t="s">
        <v>59</v>
      </c>
      <c r="E1288" t="s">
        <v>60</v>
      </c>
      <c r="F1288" t="s">
        <v>42</v>
      </c>
    </row>
    <row r="1289" spans="1:6" x14ac:dyDescent="0.2">
      <c r="A1289">
        <v>14372080</v>
      </c>
      <c r="B1289">
        <v>2020</v>
      </c>
      <c r="C1289">
        <v>54.356531428773003</v>
      </c>
      <c r="D1289" t="s">
        <v>12</v>
      </c>
      <c r="E1289" t="s">
        <v>13</v>
      </c>
      <c r="F1289" t="s">
        <v>11</v>
      </c>
    </row>
    <row r="1290" spans="1:6" x14ac:dyDescent="0.2">
      <c r="A1290">
        <v>14372080</v>
      </c>
      <c r="B1290">
        <v>2019</v>
      </c>
      <c r="C1290">
        <v>59.916229738442901</v>
      </c>
      <c r="D1290" t="s">
        <v>12</v>
      </c>
      <c r="E1290" t="s">
        <v>13</v>
      </c>
      <c r="F1290" t="s">
        <v>11</v>
      </c>
    </row>
    <row r="1291" spans="1:6" x14ac:dyDescent="0.2">
      <c r="A1291">
        <v>14372080</v>
      </c>
      <c r="B1291">
        <v>2018</v>
      </c>
      <c r="C1291">
        <v>72.766756602159504</v>
      </c>
      <c r="D1291" t="s">
        <v>12</v>
      </c>
      <c r="E1291" t="s">
        <v>13</v>
      </c>
      <c r="F1291" t="s">
        <v>11</v>
      </c>
    </row>
    <row r="1292" spans="1:6" x14ac:dyDescent="0.2">
      <c r="A1292">
        <v>14372080</v>
      </c>
      <c r="B1292">
        <v>2017</v>
      </c>
      <c r="C1292">
        <v>70.719574536368398</v>
      </c>
      <c r="D1292" t="s">
        <v>12</v>
      </c>
      <c r="E1292" t="s">
        <v>13</v>
      </c>
      <c r="F1292" t="s">
        <v>11</v>
      </c>
    </row>
    <row r="1293" spans="1:6" x14ac:dyDescent="0.2">
      <c r="A1293">
        <v>14372080</v>
      </c>
      <c r="B1293">
        <v>2016</v>
      </c>
      <c r="C1293">
        <v>58.543649151841102</v>
      </c>
      <c r="D1293" t="s">
        <v>12</v>
      </c>
      <c r="E1293" t="s">
        <v>13</v>
      </c>
      <c r="F1293" t="s">
        <v>11</v>
      </c>
    </row>
    <row r="1294" spans="1:6" x14ac:dyDescent="0.2">
      <c r="A1294">
        <v>14372080</v>
      </c>
      <c r="B1294">
        <v>2015</v>
      </c>
      <c r="C1294">
        <v>63.105940419531102</v>
      </c>
      <c r="D1294" t="s">
        <v>12</v>
      </c>
      <c r="E1294" t="s">
        <v>13</v>
      </c>
      <c r="F1294" t="s">
        <v>11</v>
      </c>
    </row>
    <row r="1295" spans="1:6" x14ac:dyDescent="0.2">
      <c r="A1295">
        <v>14372080</v>
      </c>
      <c r="B1295">
        <v>2014</v>
      </c>
      <c r="C1295">
        <v>63.265760748496298</v>
      </c>
      <c r="D1295" t="s">
        <v>12</v>
      </c>
      <c r="E1295" t="s">
        <v>13</v>
      </c>
      <c r="F1295" t="s">
        <v>11</v>
      </c>
    </row>
    <row r="1296" spans="1:6" x14ac:dyDescent="0.2">
      <c r="A1296">
        <v>14372080</v>
      </c>
      <c r="B1296">
        <v>2013</v>
      </c>
      <c r="C1296">
        <v>60.4166666666667</v>
      </c>
      <c r="D1296" t="s">
        <v>12</v>
      </c>
      <c r="E1296" t="s">
        <v>13</v>
      </c>
      <c r="F1296" t="s">
        <v>11</v>
      </c>
    </row>
    <row r="1297" spans="1:6" x14ac:dyDescent="0.2">
      <c r="A1297">
        <v>14372080</v>
      </c>
      <c r="B1297">
        <v>2012</v>
      </c>
      <c r="C1297">
        <v>37.800687285223397</v>
      </c>
      <c r="D1297" t="s">
        <v>12</v>
      </c>
      <c r="E1297" t="s">
        <v>13</v>
      </c>
      <c r="F1297" t="s">
        <v>11</v>
      </c>
    </row>
    <row r="1298" spans="1:6" x14ac:dyDescent="0.2">
      <c r="A1298">
        <v>14372080</v>
      </c>
      <c r="B1298">
        <v>2011</v>
      </c>
      <c r="C1298">
        <v>65.098039215686299</v>
      </c>
      <c r="D1298" t="s">
        <v>12</v>
      </c>
      <c r="E1298" t="s">
        <v>13</v>
      </c>
      <c r="F1298" t="s">
        <v>11</v>
      </c>
    </row>
    <row r="1299" spans="1:6" x14ac:dyDescent="0.2">
      <c r="A1299">
        <v>14372080</v>
      </c>
      <c r="B1299">
        <v>2010</v>
      </c>
      <c r="C1299">
        <v>38.7931034482759</v>
      </c>
      <c r="D1299" t="s">
        <v>12</v>
      </c>
      <c r="E1299" t="s">
        <v>13</v>
      </c>
      <c r="F1299" t="s">
        <v>11</v>
      </c>
    </row>
    <row r="1300" spans="1:6" x14ac:dyDescent="0.2">
      <c r="A1300">
        <v>95170791</v>
      </c>
      <c r="B1300">
        <v>2020</v>
      </c>
      <c r="C1300">
        <v>33.753667626391596</v>
      </c>
      <c r="D1300" t="s">
        <v>173</v>
      </c>
      <c r="E1300" t="s">
        <v>174</v>
      </c>
      <c r="F1300" t="s">
        <v>49</v>
      </c>
    </row>
    <row r="1301" spans="1:6" x14ac:dyDescent="0.2">
      <c r="A1301">
        <v>95170791</v>
      </c>
      <c r="B1301">
        <v>2019</v>
      </c>
      <c r="C1301">
        <v>31.341646331907999</v>
      </c>
      <c r="D1301" t="s">
        <v>173</v>
      </c>
      <c r="E1301" t="s">
        <v>174</v>
      </c>
      <c r="F1301" t="s">
        <v>49</v>
      </c>
    </row>
    <row r="1302" spans="1:6" x14ac:dyDescent="0.2">
      <c r="A1302">
        <v>95170791</v>
      </c>
      <c r="B1302">
        <v>2018</v>
      </c>
      <c r="C1302">
        <v>29.1953754525283</v>
      </c>
      <c r="D1302" t="s">
        <v>173</v>
      </c>
      <c r="E1302" t="s">
        <v>174</v>
      </c>
      <c r="F1302" t="s">
        <v>49</v>
      </c>
    </row>
    <row r="1303" spans="1:6" x14ac:dyDescent="0.2">
      <c r="A1303">
        <v>95170791</v>
      </c>
      <c r="B1303">
        <v>2017</v>
      </c>
      <c r="C1303">
        <v>30.2283922973578</v>
      </c>
      <c r="D1303" t="s">
        <v>173</v>
      </c>
      <c r="E1303" t="s">
        <v>174</v>
      </c>
      <c r="F1303" t="s">
        <v>49</v>
      </c>
    </row>
    <row r="1304" spans="1:6" x14ac:dyDescent="0.2">
      <c r="A1304">
        <v>95170791</v>
      </c>
      <c r="B1304">
        <v>2013</v>
      </c>
      <c r="C1304">
        <v>32.251082251082202</v>
      </c>
      <c r="D1304" t="s">
        <v>173</v>
      </c>
      <c r="E1304" t="s">
        <v>174</v>
      </c>
      <c r="F1304" t="s">
        <v>49</v>
      </c>
    </row>
    <row r="1305" spans="1:6" x14ac:dyDescent="0.2">
      <c r="A1305">
        <v>73307980</v>
      </c>
      <c r="B1305">
        <v>2020</v>
      </c>
      <c r="C1305">
        <v>49.878976679351702</v>
      </c>
      <c r="D1305" t="s">
        <v>147</v>
      </c>
      <c r="E1305" t="s">
        <v>148</v>
      </c>
      <c r="F1305" t="s">
        <v>39</v>
      </c>
    </row>
    <row r="1306" spans="1:6" x14ac:dyDescent="0.2">
      <c r="A1306">
        <v>73307980</v>
      </c>
      <c r="B1306">
        <v>2019</v>
      </c>
      <c r="C1306">
        <v>40.109845008096599</v>
      </c>
      <c r="D1306" t="s">
        <v>147</v>
      </c>
      <c r="E1306" t="s">
        <v>148</v>
      </c>
      <c r="F1306" t="s">
        <v>39</v>
      </c>
    </row>
    <row r="1307" spans="1:6" x14ac:dyDescent="0.2">
      <c r="A1307">
        <v>73307980</v>
      </c>
      <c r="B1307">
        <v>2018</v>
      </c>
      <c r="C1307">
        <v>52.162404141850601</v>
      </c>
      <c r="D1307" t="s">
        <v>147</v>
      </c>
      <c r="E1307" t="s">
        <v>148</v>
      </c>
      <c r="F1307" t="s">
        <v>39</v>
      </c>
    </row>
    <row r="1308" spans="1:6" x14ac:dyDescent="0.2">
      <c r="A1308">
        <v>73307980</v>
      </c>
      <c r="B1308">
        <v>2017</v>
      </c>
      <c r="C1308">
        <v>40.304523063143797</v>
      </c>
      <c r="D1308" t="s">
        <v>147</v>
      </c>
      <c r="E1308" t="s">
        <v>148</v>
      </c>
      <c r="F1308" t="s">
        <v>39</v>
      </c>
    </row>
    <row r="1309" spans="1:6" x14ac:dyDescent="0.2">
      <c r="A1309">
        <v>73307980</v>
      </c>
      <c r="B1309">
        <v>2016</v>
      </c>
      <c r="C1309">
        <v>40.041692896727497</v>
      </c>
      <c r="D1309" t="s">
        <v>147</v>
      </c>
      <c r="E1309" t="s">
        <v>148</v>
      </c>
      <c r="F1309" t="s">
        <v>39</v>
      </c>
    </row>
    <row r="1310" spans="1:6" x14ac:dyDescent="0.2">
      <c r="A1310">
        <v>92767974</v>
      </c>
      <c r="B1310">
        <v>2016</v>
      </c>
      <c r="C1310">
        <v>51.795333821348798</v>
      </c>
      <c r="D1310" t="s">
        <v>887</v>
      </c>
      <c r="E1310" t="s">
        <v>888</v>
      </c>
      <c r="F1310" t="s">
        <v>22</v>
      </c>
    </row>
    <row r="1311" spans="1:6" x14ac:dyDescent="0.2">
      <c r="A1311">
        <v>27070473</v>
      </c>
      <c r="B1311">
        <v>2020</v>
      </c>
      <c r="C1311">
        <v>39.082476562896602</v>
      </c>
      <c r="D1311" t="s">
        <v>435</v>
      </c>
      <c r="E1311" t="s">
        <v>436</v>
      </c>
      <c r="F1311" t="s">
        <v>19</v>
      </c>
    </row>
    <row r="1312" spans="1:6" x14ac:dyDescent="0.2">
      <c r="A1312">
        <v>27070473</v>
      </c>
      <c r="B1312">
        <v>2019</v>
      </c>
      <c r="C1312">
        <v>33.884635755212102</v>
      </c>
      <c r="D1312" t="s">
        <v>435</v>
      </c>
      <c r="E1312" t="s">
        <v>436</v>
      </c>
      <c r="F1312" t="s">
        <v>19</v>
      </c>
    </row>
    <row r="1313" spans="1:6" x14ac:dyDescent="0.2">
      <c r="A1313">
        <v>27070473</v>
      </c>
      <c r="B1313">
        <v>2018</v>
      </c>
      <c r="C1313">
        <v>39.105885105988598</v>
      </c>
      <c r="D1313" t="s">
        <v>435</v>
      </c>
      <c r="E1313" t="s">
        <v>436</v>
      </c>
      <c r="F1313" t="s">
        <v>19</v>
      </c>
    </row>
    <row r="1314" spans="1:6" x14ac:dyDescent="0.2">
      <c r="A1314">
        <v>27070473</v>
      </c>
      <c r="B1314">
        <v>2017</v>
      </c>
      <c r="C1314">
        <v>31.430513081889199</v>
      </c>
      <c r="D1314" t="s">
        <v>435</v>
      </c>
      <c r="E1314" t="s">
        <v>436</v>
      </c>
      <c r="F1314" t="s">
        <v>19</v>
      </c>
    </row>
    <row r="1315" spans="1:6" x14ac:dyDescent="0.2">
      <c r="A1315">
        <v>27070473</v>
      </c>
      <c r="B1315">
        <v>2016</v>
      </c>
      <c r="C1315">
        <v>34.329527414401497</v>
      </c>
      <c r="D1315" t="s">
        <v>435</v>
      </c>
      <c r="E1315" t="s">
        <v>436</v>
      </c>
      <c r="F1315" t="s">
        <v>19</v>
      </c>
    </row>
    <row r="1316" spans="1:6" x14ac:dyDescent="0.2">
      <c r="A1316">
        <v>27070473</v>
      </c>
      <c r="B1316">
        <v>2015</v>
      </c>
      <c r="C1316">
        <v>27.5151576565165</v>
      </c>
      <c r="D1316" t="s">
        <v>435</v>
      </c>
      <c r="E1316" t="s">
        <v>436</v>
      </c>
      <c r="F1316" t="s">
        <v>19</v>
      </c>
    </row>
    <row r="1317" spans="1:6" x14ac:dyDescent="0.2">
      <c r="A1317">
        <v>27070473</v>
      </c>
      <c r="B1317">
        <v>2013</v>
      </c>
      <c r="C1317">
        <v>28.282828282828302</v>
      </c>
      <c r="D1317" t="s">
        <v>435</v>
      </c>
      <c r="E1317" t="s">
        <v>436</v>
      </c>
      <c r="F1317" t="s">
        <v>19</v>
      </c>
    </row>
    <row r="1318" spans="1:6" x14ac:dyDescent="0.2">
      <c r="A1318">
        <v>27070473</v>
      </c>
      <c r="B1318">
        <v>2012</v>
      </c>
      <c r="C1318">
        <v>30.769230769230798</v>
      </c>
      <c r="D1318" t="s">
        <v>435</v>
      </c>
      <c r="E1318" t="s">
        <v>436</v>
      </c>
      <c r="F1318" t="s">
        <v>19</v>
      </c>
    </row>
    <row r="1319" spans="1:6" x14ac:dyDescent="0.2">
      <c r="A1319">
        <v>27070473</v>
      </c>
      <c r="B1319">
        <v>2011</v>
      </c>
      <c r="C1319">
        <v>37.770491803278702</v>
      </c>
      <c r="D1319" t="s">
        <v>435</v>
      </c>
      <c r="E1319" t="s">
        <v>436</v>
      </c>
      <c r="F1319" t="s">
        <v>19</v>
      </c>
    </row>
    <row r="1320" spans="1:6" x14ac:dyDescent="0.2">
      <c r="A1320">
        <v>69448968</v>
      </c>
      <c r="B1320">
        <v>2020</v>
      </c>
      <c r="C1320">
        <v>23.207959609070102</v>
      </c>
      <c r="D1320" t="s">
        <v>891</v>
      </c>
      <c r="E1320" t="s">
        <v>892</v>
      </c>
      <c r="F1320" t="s">
        <v>35</v>
      </c>
    </row>
    <row r="1321" spans="1:6" x14ac:dyDescent="0.2">
      <c r="A1321">
        <v>69448968</v>
      </c>
      <c r="B1321">
        <v>2019</v>
      </c>
      <c r="C1321">
        <v>29.303842625624299</v>
      </c>
      <c r="D1321" t="s">
        <v>891</v>
      </c>
      <c r="E1321" t="s">
        <v>892</v>
      </c>
      <c r="F1321" t="s">
        <v>35</v>
      </c>
    </row>
    <row r="1322" spans="1:6" x14ac:dyDescent="0.2">
      <c r="A1322">
        <v>69448968</v>
      </c>
      <c r="B1322">
        <v>2018</v>
      </c>
      <c r="C1322">
        <v>35.242579959773899</v>
      </c>
      <c r="D1322" t="s">
        <v>891</v>
      </c>
      <c r="E1322" t="s">
        <v>892</v>
      </c>
      <c r="F1322" t="s">
        <v>35</v>
      </c>
    </row>
    <row r="1323" spans="1:6" x14ac:dyDescent="0.2">
      <c r="A1323">
        <v>69448968</v>
      </c>
      <c r="B1323">
        <v>2016</v>
      </c>
      <c r="C1323">
        <v>34.2949364535001</v>
      </c>
      <c r="D1323" t="s">
        <v>891</v>
      </c>
      <c r="E1323" t="s">
        <v>892</v>
      </c>
      <c r="F1323" t="s">
        <v>35</v>
      </c>
    </row>
    <row r="1324" spans="1:6" x14ac:dyDescent="0.2">
      <c r="A1324">
        <v>69448968</v>
      </c>
      <c r="B1324">
        <v>2015</v>
      </c>
      <c r="C1324">
        <v>21.8258329931225</v>
      </c>
      <c r="D1324" t="s">
        <v>891</v>
      </c>
      <c r="E1324" t="s">
        <v>892</v>
      </c>
      <c r="F1324" t="s">
        <v>35</v>
      </c>
    </row>
    <row r="1325" spans="1:6" x14ac:dyDescent="0.2">
      <c r="A1325">
        <v>73243977</v>
      </c>
      <c r="B1325">
        <v>2019</v>
      </c>
      <c r="C1325">
        <v>50.445447182691197</v>
      </c>
      <c r="D1325" t="s">
        <v>940</v>
      </c>
      <c r="E1325" t="s">
        <v>689</v>
      </c>
      <c r="F1325" t="s">
        <v>348</v>
      </c>
    </row>
    <row r="1326" spans="1:6" x14ac:dyDescent="0.2">
      <c r="A1326">
        <v>73243977</v>
      </c>
      <c r="B1326">
        <v>2018</v>
      </c>
      <c r="C1326">
        <v>51.953237934129398</v>
      </c>
      <c r="D1326" t="s">
        <v>940</v>
      </c>
      <c r="E1326" t="s">
        <v>689</v>
      </c>
      <c r="F1326" t="s">
        <v>348</v>
      </c>
    </row>
    <row r="1327" spans="1:6" x14ac:dyDescent="0.2">
      <c r="A1327">
        <v>73243977</v>
      </c>
      <c r="B1327">
        <v>2017</v>
      </c>
      <c r="C1327">
        <v>59.162725760153201</v>
      </c>
      <c r="D1327" t="s">
        <v>940</v>
      </c>
      <c r="E1327" t="s">
        <v>689</v>
      </c>
      <c r="F1327" t="s">
        <v>348</v>
      </c>
    </row>
    <row r="1328" spans="1:6" x14ac:dyDescent="0.2">
      <c r="A1328">
        <v>73243977</v>
      </c>
      <c r="B1328">
        <v>2016</v>
      </c>
      <c r="C1328">
        <v>64.295294869065401</v>
      </c>
      <c r="D1328" t="s">
        <v>940</v>
      </c>
      <c r="E1328" t="s">
        <v>689</v>
      </c>
      <c r="F1328" t="s">
        <v>348</v>
      </c>
    </row>
    <row r="1329" spans="1:6" x14ac:dyDescent="0.2">
      <c r="A1329">
        <v>73243977</v>
      </c>
      <c r="B1329">
        <v>2015</v>
      </c>
      <c r="C1329">
        <v>63.448605543061397</v>
      </c>
      <c r="D1329" t="s">
        <v>940</v>
      </c>
      <c r="E1329" t="s">
        <v>689</v>
      </c>
      <c r="F1329" t="s">
        <v>348</v>
      </c>
    </row>
    <row r="1330" spans="1:6" x14ac:dyDescent="0.2">
      <c r="A1330">
        <v>73243977</v>
      </c>
      <c r="B1330">
        <v>2014</v>
      </c>
      <c r="C1330">
        <v>67.110987688604993</v>
      </c>
      <c r="D1330" t="s">
        <v>940</v>
      </c>
      <c r="E1330" t="s">
        <v>689</v>
      </c>
      <c r="F1330" t="s">
        <v>348</v>
      </c>
    </row>
    <row r="1331" spans="1:6" x14ac:dyDescent="0.2">
      <c r="A1331">
        <v>73243977</v>
      </c>
      <c r="B1331">
        <v>2013</v>
      </c>
      <c r="C1331">
        <v>65.705128205128204</v>
      </c>
      <c r="D1331" t="s">
        <v>940</v>
      </c>
      <c r="E1331" t="s">
        <v>689</v>
      </c>
      <c r="F1331" t="s">
        <v>348</v>
      </c>
    </row>
    <row r="1332" spans="1:6" x14ac:dyDescent="0.2">
      <c r="A1332">
        <v>73243977</v>
      </c>
      <c r="B1332">
        <v>2012</v>
      </c>
      <c r="C1332">
        <v>64.401294498381901</v>
      </c>
      <c r="D1332" t="s">
        <v>940</v>
      </c>
      <c r="E1332" t="s">
        <v>689</v>
      </c>
      <c r="F1332" t="s">
        <v>348</v>
      </c>
    </row>
    <row r="1333" spans="1:6" x14ac:dyDescent="0.2">
      <c r="A1333">
        <v>78029165</v>
      </c>
      <c r="B1333">
        <v>2020</v>
      </c>
      <c r="C1333">
        <v>33.901699452512801</v>
      </c>
      <c r="D1333" t="s">
        <v>633</v>
      </c>
      <c r="E1333" t="s">
        <v>634</v>
      </c>
      <c r="F1333" t="s">
        <v>227</v>
      </c>
    </row>
    <row r="1334" spans="1:6" x14ac:dyDescent="0.2">
      <c r="A1334">
        <v>78029165</v>
      </c>
      <c r="B1334">
        <v>2019</v>
      </c>
      <c r="C1334">
        <v>34.618587687978</v>
      </c>
      <c r="D1334" t="s">
        <v>633</v>
      </c>
      <c r="E1334" t="s">
        <v>634</v>
      </c>
      <c r="F1334" t="s">
        <v>227</v>
      </c>
    </row>
    <row r="1335" spans="1:6" x14ac:dyDescent="0.2">
      <c r="A1335">
        <v>78029165</v>
      </c>
      <c r="B1335">
        <v>2018</v>
      </c>
      <c r="C1335">
        <v>31.643226323720501</v>
      </c>
      <c r="D1335" t="s">
        <v>633</v>
      </c>
      <c r="E1335" t="s">
        <v>634</v>
      </c>
      <c r="F1335" t="s">
        <v>227</v>
      </c>
    </row>
    <row r="1336" spans="1:6" x14ac:dyDescent="0.2">
      <c r="A1336">
        <v>78029165</v>
      </c>
      <c r="B1336">
        <v>2017</v>
      </c>
      <c r="C1336">
        <v>27.783354844877898</v>
      </c>
      <c r="D1336" t="s">
        <v>633</v>
      </c>
      <c r="E1336" t="s">
        <v>634</v>
      </c>
      <c r="F1336" t="s">
        <v>227</v>
      </c>
    </row>
    <row r="1337" spans="1:6" x14ac:dyDescent="0.2">
      <c r="A1337">
        <v>78029165</v>
      </c>
      <c r="B1337">
        <v>2016</v>
      </c>
      <c r="C1337">
        <v>30.9528783800945</v>
      </c>
      <c r="D1337" t="s">
        <v>633</v>
      </c>
      <c r="E1337" t="s">
        <v>634</v>
      </c>
      <c r="F1337" t="s">
        <v>227</v>
      </c>
    </row>
    <row r="1338" spans="1:6" x14ac:dyDescent="0.2">
      <c r="A1338">
        <v>78029165</v>
      </c>
      <c r="B1338">
        <v>2015</v>
      </c>
      <c r="C1338">
        <v>23.813970862906199</v>
      </c>
      <c r="D1338" t="s">
        <v>633</v>
      </c>
      <c r="E1338" t="s">
        <v>634</v>
      </c>
      <c r="F1338" t="s">
        <v>227</v>
      </c>
    </row>
    <row r="1339" spans="1:6" x14ac:dyDescent="0.2">
      <c r="A1339">
        <v>78029165</v>
      </c>
      <c r="B1339">
        <v>2012</v>
      </c>
      <c r="C1339">
        <v>26.6162310866575</v>
      </c>
      <c r="D1339" t="s">
        <v>633</v>
      </c>
      <c r="E1339" t="s">
        <v>634</v>
      </c>
      <c r="F1339" t="s">
        <v>227</v>
      </c>
    </row>
    <row r="1340" spans="1:6" x14ac:dyDescent="0.2">
      <c r="A1340">
        <v>78029165</v>
      </c>
      <c r="B1340">
        <v>2011</v>
      </c>
      <c r="C1340">
        <v>30.985633144002701</v>
      </c>
      <c r="D1340" t="s">
        <v>633</v>
      </c>
      <c r="E1340" t="s">
        <v>634</v>
      </c>
      <c r="F1340" t="s">
        <v>227</v>
      </c>
    </row>
    <row r="1341" spans="1:6" x14ac:dyDescent="0.2">
      <c r="A1341">
        <v>25624846</v>
      </c>
      <c r="B1341">
        <v>2020</v>
      </c>
      <c r="C1341">
        <v>34.514470470087097</v>
      </c>
      <c r="D1341" t="s">
        <v>509</v>
      </c>
      <c r="E1341" t="s">
        <v>506</v>
      </c>
      <c r="F1341" t="s">
        <v>191</v>
      </c>
    </row>
    <row r="1342" spans="1:6" x14ac:dyDescent="0.2">
      <c r="A1342">
        <v>25624846</v>
      </c>
      <c r="B1342">
        <v>2019</v>
      </c>
      <c r="C1342">
        <v>53.728536568985199</v>
      </c>
      <c r="D1342" t="s">
        <v>509</v>
      </c>
      <c r="E1342" t="s">
        <v>506</v>
      </c>
      <c r="F1342" t="s">
        <v>191</v>
      </c>
    </row>
    <row r="1343" spans="1:6" x14ac:dyDescent="0.2">
      <c r="A1343">
        <v>25624846</v>
      </c>
      <c r="B1343">
        <v>2018</v>
      </c>
      <c r="C1343">
        <v>59.996496554945701</v>
      </c>
      <c r="D1343" t="s">
        <v>509</v>
      </c>
      <c r="E1343" t="s">
        <v>506</v>
      </c>
      <c r="F1343" t="s">
        <v>191</v>
      </c>
    </row>
    <row r="1344" spans="1:6" x14ac:dyDescent="0.2">
      <c r="A1344">
        <v>25624846</v>
      </c>
      <c r="B1344">
        <v>2016</v>
      </c>
      <c r="C1344">
        <v>38.146051927411897</v>
      </c>
      <c r="D1344" t="s">
        <v>509</v>
      </c>
      <c r="E1344" t="s">
        <v>506</v>
      </c>
      <c r="F1344" t="s">
        <v>191</v>
      </c>
    </row>
    <row r="1345" spans="1:6" x14ac:dyDescent="0.2">
      <c r="A1345">
        <v>76252639</v>
      </c>
      <c r="B1345">
        <v>2020</v>
      </c>
      <c r="C1345">
        <v>66</v>
      </c>
      <c r="D1345" t="s">
        <v>1002</v>
      </c>
      <c r="E1345" t="s">
        <v>557</v>
      </c>
      <c r="F1345" t="s">
        <v>1126</v>
      </c>
    </row>
    <row r="1346" spans="1:6" x14ac:dyDescent="0.2">
      <c r="A1346">
        <v>76252639</v>
      </c>
      <c r="B1346">
        <v>2019</v>
      </c>
      <c r="C1346">
        <v>58.1666666666667</v>
      </c>
      <c r="D1346" t="s">
        <v>1002</v>
      </c>
      <c r="E1346" t="s">
        <v>557</v>
      </c>
      <c r="F1346" t="s">
        <v>1126</v>
      </c>
    </row>
    <row r="1347" spans="1:6" x14ac:dyDescent="0.2">
      <c r="A1347">
        <v>76252639</v>
      </c>
      <c r="B1347">
        <v>2018</v>
      </c>
      <c r="C1347">
        <v>60.831666666666699</v>
      </c>
      <c r="D1347" t="s">
        <v>1002</v>
      </c>
      <c r="E1347" t="s">
        <v>557</v>
      </c>
      <c r="F1347" t="s">
        <v>1126</v>
      </c>
    </row>
    <row r="1348" spans="1:6" x14ac:dyDescent="0.2">
      <c r="A1348">
        <v>76252639</v>
      </c>
      <c r="B1348">
        <v>2017</v>
      </c>
      <c r="C1348">
        <v>52.431249999999999</v>
      </c>
      <c r="D1348" t="s">
        <v>1002</v>
      </c>
      <c r="E1348" t="s">
        <v>557</v>
      </c>
      <c r="F1348" t="s">
        <v>1126</v>
      </c>
    </row>
    <row r="1349" spans="1:6" x14ac:dyDescent="0.2">
      <c r="A1349">
        <v>76252639</v>
      </c>
      <c r="B1349">
        <v>2016</v>
      </c>
      <c r="C1349">
        <v>55.998888888888899</v>
      </c>
      <c r="D1349" t="s">
        <v>1002</v>
      </c>
      <c r="E1349" t="s">
        <v>557</v>
      </c>
      <c r="F1349" t="s">
        <v>1126</v>
      </c>
    </row>
    <row r="1350" spans="1:6" x14ac:dyDescent="0.2">
      <c r="A1350">
        <v>76252639</v>
      </c>
      <c r="B1350">
        <v>2015</v>
      </c>
      <c r="C1350">
        <v>40.737499999999997</v>
      </c>
      <c r="D1350" t="s">
        <v>1002</v>
      </c>
      <c r="E1350" t="s">
        <v>557</v>
      </c>
      <c r="F1350" t="s">
        <v>1126</v>
      </c>
    </row>
    <row r="1351" spans="1:6" x14ac:dyDescent="0.2">
      <c r="A1351">
        <v>67145379</v>
      </c>
      <c r="B1351">
        <v>2020</v>
      </c>
      <c r="C1351">
        <v>43.959559432062498</v>
      </c>
      <c r="D1351" t="s">
        <v>558</v>
      </c>
      <c r="E1351" t="s">
        <v>559</v>
      </c>
      <c r="F1351" t="s">
        <v>223</v>
      </c>
    </row>
    <row r="1352" spans="1:6" x14ac:dyDescent="0.2">
      <c r="A1352">
        <v>67145379</v>
      </c>
      <c r="B1352">
        <v>2019</v>
      </c>
      <c r="C1352">
        <v>36.406680248046698</v>
      </c>
      <c r="D1352" t="s">
        <v>558</v>
      </c>
      <c r="E1352" t="s">
        <v>559</v>
      </c>
      <c r="F1352" t="s">
        <v>223</v>
      </c>
    </row>
    <row r="1353" spans="1:6" x14ac:dyDescent="0.2">
      <c r="A1353">
        <v>67145379</v>
      </c>
      <c r="B1353">
        <v>2018</v>
      </c>
      <c r="C1353">
        <v>39.712198476650201</v>
      </c>
      <c r="D1353" t="s">
        <v>558</v>
      </c>
      <c r="E1353" t="s">
        <v>559</v>
      </c>
      <c r="F1353" t="s">
        <v>223</v>
      </c>
    </row>
    <row r="1354" spans="1:6" x14ac:dyDescent="0.2">
      <c r="A1354">
        <v>67145379</v>
      </c>
      <c r="B1354">
        <v>2017</v>
      </c>
      <c r="C1354">
        <v>28.3950962830273</v>
      </c>
      <c r="D1354" t="s">
        <v>558</v>
      </c>
      <c r="E1354" t="s">
        <v>559</v>
      </c>
      <c r="F1354" t="s">
        <v>223</v>
      </c>
    </row>
    <row r="1355" spans="1:6" x14ac:dyDescent="0.2">
      <c r="A1355">
        <v>67145379</v>
      </c>
      <c r="B1355">
        <v>2016</v>
      </c>
      <c r="C1355">
        <v>22.9689332879252</v>
      </c>
      <c r="D1355" t="s">
        <v>558</v>
      </c>
      <c r="E1355" t="s">
        <v>559</v>
      </c>
      <c r="F1355" t="s">
        <v>223</v>
      </c>
    </row>
    <row r="1356" spans="1:6" x14ac:dyDescent="0.2">
      <c r="A1356">
        <v>67145379</v>
      </c>
      <c r="B1356">
        <v>2015</v>
      </c>
      <c r="C1356">
        <v>24.622950819672099</v>
      </c>
      <c r="D1356" t="s">
        <v>558</v>
      </c>
      <c r="E1356" t="s">
        <v>559</v>
      </c>
      <c r="F1356" t="s">
        <v>223</v>
      </c>
    </row>
    <row r="1357" spans="1:6" x14ac:dyDescent="0.2">
      <c r="A1357">
        <v>95500483</v>
      </c>
      <c r="B1357">
        <v>2020</v>
      </c>
      <c r="C1357">
        <v>61.997999999999998</v>
      </c>
      <c r="D1357" t="s">
        <v>823</v>
      </c>
      <c r="E1357" t="s">
        <v>581</v>
      </c>
      <c r="F1357" t="s">
        <v>1126</v>
      </c>
    </row>
    <row r="1358" spans="1:6" x14ac:dyDescent="0.2">
      <c r="A1358">
        <v>95500483</v>
      </c>
      <c r="B1358">
        <v>2019</v>
      </c>
      <c r="C1358">
        <v>58.3333333333333</v>
      </c>
      <c r="D1358" t="s">
        <v>823</v>
      </c>
      <c r="E1358" t="s">
        <v>581</v>
      </c>
      <c r="F1358" t="s">
        <v>1126</v>
      </c>
    </row>
    <row r="1359" spans="1:6" x14ac:dyDescent="0.2">
      <c r="A1359">
        <v>95500483</v>
      </c>
      <c r="B1359">
        <v>2017</v>
      </c>
      <c r="C1359">
        <v>51</v>
      </c>
      <c r="D1359" t="s">
        <v>823</v>
      </c>
      <c r="E1359" t="s">
        <v>581</v>
      </c>
      <c r="F1359" t="s">
        <v>1126</v>
      </c>
    </row>
    <row r="1360" spans="1:6" x14ac:dyDescent="0.2">
      <c r="A1360">
        <v>95500483</v>
      </c>
      <c r="B1360">
        <v>2016</v>
      </c>
      <c r="C1360">
        <v>51.1111111111111</v>
      </c>
      <c r="D1360" t="s">
        <v>823</v>
      </c>
      <c r="E1360" t="s">
        <v>581</v>
      </c>
      <c r="F1360" t="s">
        <v>1126</v>
      </c>
    </row>
    <row r="1361" spans="1:6" x14ac:dyDescent="0.2">
      <c r="A1361">
        <v>95500483</v>
      </c>
      <c r="B1361">
        <v>2015</v>
      </c>
      <c r="C1361">
        <v>43.6</v>
      </c>
      <c r="D1361" t="s">
        <v>823</v>
      </c>
      <c r="E1361" t="s">
        <v>581</v>
      </c>
      <c r="F1361" t="s">
        <v>1126</v>
      </c>
    </row>
    <row r="1362" spans="1:6" x14ac:dyDescent="0.2">
      <c r="A1362">
        <v>99506449</v>
      </c>
      <c r="B1362">
        <v>2019</v>
      </c>
      <c r="C1362">
        <v>55.8333333333333</v>
      </c>
      <c r="D1362" t="s">
        <v>1080</v>
      </c>
      <c r="E1362" t="s">
        <v>721</v>
      </c>
      <c r="F1362" t="s">
        <v>1126</v>
      </c>
    </row>
    <row r="1363" spans="1:6" x14ac:dyDescent="0.2">
      <c r="A1363">
        <v>99506449</v>
      </c>
      <c r="B1363">
        <v>2018</v>
      </c>
      <c r="C1363">
        <v>60</v>
      </c>
      <c r="D1363" t="s">
        <v>1080</v>
      </c>
      <c r="E1363" t="s">
        <v>721</v>
      </c>
      <c r="F1363" t="s">
        <v>1126</v>
      </c>
    </row>
    <row r="1364" spans="1:6" x14ac:dyDescent="0.2">
      <c r="A1364">
        <v>99506449</v>
      </c>
      <c r="B1364">
        <v>2017</v>
      </c>
      <c r="C1364">
        <v>57.373750000000001</v>
      </c>
      <c r="D1364" t="s">
        <v>1080</v>
      </c>
      <c r="E1364" t="s">
        <v>721</v>
      </c>
      <c r="F1364" t="s">
        <v>1126</v>
      </c>
    </row>
    <row r="1365" spans="1:6" x14ac:dyDescent="0.2">
      <c r="A1365">
        <v>99506449</v>
      </c>
      <c r="B1365">
        <v>2016</v>
      </c>
      <c r="C1365">
        <v>49.22</v>
      </c>
      <c r="D1365" t="s">
        <v>1080</v>
      </c>
      <c r="E1365" t="s">
        <v>721</v>
      </c>
      <c r="F1365" t="s">
        <v>1126</v>
      </c>
    </row>
    <row r="1366" spans="1:6" x14ac:dyDescent="0.2">
      <c r="A1366">
        <v>99506449</v>
      </c>
      <c r="B1366">
        <v>2015</v>
      </c>
      <c r="C1366">
        <v>50.4</v>
      </c>
      <c r="D1366" t="s">
        <v>1080</v>
      </c>
      <c r="E1366" t="s">
        <v>721</v>
      </c>
      <c r="F1366" t="s">
        <v>1126</v>
      </c>
    </row>
    <row r="1367" spans="1:6" x14ac:dyDescent="0.2">
      <c r="A1367">
        <v>98249524</v>
      </c>
      <c r="B1367">
        <v>2020</v>
      </c>
      <c r="C1367">
        <v>20.782906949729899</v>
      </c>
      <c r="D1367" t="s">
        <v>145</v>
      </c>
      <c r="E1367"/>
      <c r="F1367" t="s">
        <v>28</v>
      </c>
    </row>
    <row r="1368" spans="1:6" x14ac:dyDescent="0.2">
      <c r="A1368">
        <v>98249524</v>
      </c>
      <c r="B1368">
        <v>2019</v>
      </c>
      <c r="C1368">
        <v>28.170170214988801</v>
      </c>
      <c r="D1368" t="s">
        <v>145</v>
      </c>
      <c r="E1368"/>
      <c r="F1368" t="s">
        <v>28</v>
      </c>
    </row>
    <row r="1369" spans="1:6" x14ac:dyDescent="0.2">
      <c r="A1369">
        <v>98249524</v>
      </c>
      <c r="B1369">
        <v>2018</v>
      </c>
      <c r="C1369">
        <v>42.430612324341197</v>
      </c>
      <c r="D1369" t="s">
        <v>145</v>
      </c>
      <c r="E1369"/>
      <c r="F1369" t="s">
        <v>28</v>
      </c>
    </row>
    <row r="1370" spans="1:6" x14ac:dyDescent="0.2">
      <c r="A1370">
        <v>98249524</v>
      </c>
      <c r="B1370">
        <v>2016</v>
      </c>
      <c r="C1370">
        <v>32.793481414210198</v>
      </c>
      <c r="D1370" t="s">
        <v>145</v>
      </c>
      <c r="E1370"/>
      <c r="F1370" t="s">
        <v>28</v>
      </c>
    </row>
    <row r="1371" spans="1:6" x14ac:dyDescent="0.2">
      <c r="A1371">
        <v>71313466</v>
      </c>
      <c r="B1371">
        <v>2020</v>
      </c>
      <c r="C1371">
        <v>25.478535908077401</v>
      </c>
      <c r="D1371" t="s">
        <v>517</v>
      </c>
      <c r="E1371" t="s">
        <v>518</v>
      </c>
      <c r="F1371" t="s">
        <v>183</v>
      </c>
    </row>
    <row r="1372" spans="1:6" x14ac:dyDescent="0.2">
      <c r="A1372">
        <v>71313466</v>
      </c>
      <c r="B1372">
        <v>2019</v>
      </c>
      <c r="C1372">
        <v>30.460852985858299</v>
      </c>
      <c r="D1372" t="s">
        <v>517</v>
      </c>
      <c r="E1372" t="s">
        <v>518</v>
      </c>
      <c r="F1372" t="s">
        <v>183</v>
      </c>
    </row>
    <row r="1373" spans="1:6" x14ac:dyDescent="0.2">
      <c r="A1373">
        <v>71313466</v>
      </c>
      <c r="B1373">
        <v>2018</v>
      </c>
      <c r="C1373">
        <v>25.203515217006998</v>
      </c>
      <c r="D1373" t="s">
        <v>517</v>
      </c>
      <c r="E1373" t="s">
        <v>518</v>
      </c>
      <c r="F1373" t="s">
        <v>183</v>
      </c>
    </row>
    <row r="1374" spans="1:6" x14ac:dyDescent="0.2">
      <c r="A1374">
        <v>71313466</v>
      </c>
      <c r="B1374">
        <v>2017</v>
      </c>
      <c r="C1374">
        <v>30.3775451652009</v>
      </c>
      <c r="D1374" t="s">
        <v>517</v>
      </c>
      <c r="E1374" t="s">
        <v>518</v>
      </c>
      <c r="F1374" t="s">
        <v>183</v>
      </c>
    </row>
    <row r="1375" spans="1:6" x14ac:dyDescent="0.2">
      <c r="A1375">
        <v>71313466</v>
      </c>
      <c r="B1375">
        <v>2016</v>
      </c>
      <c r="C1375">
        <v>19.255697103332299</v>
      </c>
      <c r="D1375" t="s">
        <v>517</v>
      </c>
      <c r="E1375" t="s">
        <v>518</v>
      </c>
      <c r="F1375" t="s">
        <v>183</v>
      </c>
    </row>
    <row r="1376" spans="1:6" x14ac:dyDescent="0.2">
      <c r="A1376">
        <v>71313466</v>
      </c>
      <c r="B1376">
        <v>2015</v>
      </c>
      <c r="C1376">
        <v>25.864181212078201</v>
      </c>
      <c r="D1376" t="s">
        <v>517</v>
      </c>
      <c r="E1376" t="s">
        <v>518</v>
      </c>
      <c r="F1376" t="s">
        <v>183</v>
      </c>
    </row>
    <row r="1377" spans="1:6" x14ac:dyDescent="0.2">
      <c r="A1377">
        <v>71313466</v>
      </c>
      <c r="B1377">
        <v>2014</v>
      </c>
      <c r="C1377">
        <v>32.495874875987198</v>
      </c>
      <c r="D1377" t="s">
        <v>517</v>
      </c>
      <c r="E1377" t="s">
        <v>518</v>
      </c>
      <c r="F1377" t="s">
        <v>183</v>
      </c>
    </row>
    <row r="1378" spans="1:6" x14ac:dyDescent="0.2">
      <c r="A1378">
        <v>71313466</v>
      </c>
      <c r="B1378">
        <v>2013</v>
      </c>
      <c r="C1378">
        <v>29.924538121259399</v>
      </c>
      <c r="D1378" t="s">
        <v>517</v>
      </c>
      <c r="E1378" t="s">
        <v>518</v>
      </c>
      <c r="F1378" t="s">
        <v>183</v>
      </c>
    </row>
    <row r="1379" spans="1:6" x14ac:dyDescent="0.2">
      <c r="A1379">
        <v>71313466</v>
      </c>
      <c r="B1379">
        <v>2012</v>
      </c>
      <c r="C1379">
        <v>24.390243902439</v>
      </c>
      <c r="D1379" t="s">
        <v>517</v>
      </c>
      <c r="E1379" t="s">
        <v>518</v>
      </c>
      <c r="F1379" t="s">
        <v>183</v>
      </c>
    </row>
    <row r="1380" spans="1:6" x14ac:dyDescent="0.2">
      <c r="A1380">
        <v>19266151</v>
      </c>
      <c r="B1380">
        <v>2020</v>
      </c>
      <c r="C1380">
        <v>18.214170624746099</v>
      </c>
      <c r="D1380" t="s">
        <v>583</v>
      </c>
      <c r="E1380" t="s">
        <v>565</v>
      </c>
      <c r="F1380" t="s">
        <v>119</v>
      </c>
    </row>
    <row r="1381" spans="1:6" x14ac:dyDescent="0.2">
      <c r="A1381">
        <v>19266151</v>
      </c>
      <c r="B1381">
        <v>2019</v>
      </c>
      <c r="C1381">
        <v>16.575363927321199</v>
      </c>
      <c r="D1381" t="s">
        <v>583</v>
      </c>
      <c r="E1381" t="s">
        <v>565</v>
      </c>
      <c r="F1381" t="s">
        <v>119</v>
      </c>
    </row>
    <row r="1382" spans="1:6" x14ac:dyDescent="0.2">
      <c r="A1382">
        <v>19266151</v>
      </c>
      <c r="B1382">
        <v>2018</v>
      </c>
      <c r="C1382">
        <v>24.061316417026401</v>
      </c>
      <c r="D1382" t="s">
        <v>583</v>
      </c>
      <c r="E1382" t="s">
        <v>565</v>
      </c>
      <c r="F1382" t="s">
        <v>119</v>
      </c>
    </row>
    <row r="1383" spans="1:6" x14ac:dyDescent="0.2">
      <c r="A1383">
        <v>19266151</v>
      </c>
      <c r="B1383">
        <v>2017</v>
      </c>
      <c r="C1383">
        <v>14.432269451389899</v>
      </c>
      <c r="D1383" t="s">
        <v>583</v>
      </c>
      <c r="E1383" t="s">
        <v>565</v>
      </c>
      <c r="F1383" t="s">
        <v>119</v>
      </c>
    </row>
    <row r="1384" spans="1:6" x14ac:dyDescent="0.2">
      <c r="A1384">
        <v>19266151</v>
      </c>
      <c r="B1384">
        <v>2016</v>
      </c>
      <c r="C1384">
        <v>19.025006468502198</v>
      </c>
      <c r="D1384" t="s">
        <v>583</v>
      </c>
      <c r="E1384" t="s">
        <v>565</v>
      </c>
      <c r="F1384" t="s">
        <v>119</v>
      </c>
    </row>
    <row r="1385" spans="1:6" x14ac:dyDescent="0.2">
      <c r="A1385">
        <v>19266151</v>
      </c>
      <c r="B1385">
        <v>2014</v>
      </c>
      <c r="C1385">
        <v>14.1346902635986</v>
      </c>
      <c r="D1385" t="s">
        <v>583</v>
      </c>
      <c r="E1385" t="s">
        <v>565</v>
      </c>
      <c r="F1385" t="s">
        <v>119</v>
      </c>
    </row>
    <row r="1386" spans="1:6" x14ac:dyDescent="0.2">
      <c r="A1386">
        <v>19266151</v>
      </c>
      <c r="B1386">
        <v>2013</v>
      </c>
      <c r="C1386">
        <v>19.730392156862699</v>
      </c>
      <c r="D1386" t="s">
        <v>583</v>
      </c>
      <c r="E1386" t="s">
        <v>565</v>
      </c>
      <c r="F1386" t="s">
        <v>119</v>
      </c>
    </row>
    <row r="1387" spans="1:6" x14ac:dyDescent="0.2">
      <c r="A1387">
        <v>19266151</v>
      </c>
      <c r="B1387">
        <v>2012</v>
      </c>
      <c r="C1387">
        <v>20.8006279434851</v>
      </c>
      <c r="D1387" t="s">
        <v>583</v>
      </c>
      <c r="E1387" t="s">
        <v>565</v>
      </c>
      <c r="F1387" t="s">
        <v>119</v>
      </c>
    </row>
    <row r="1388" spans="1:6" x14ac:dyDescent="0.2">
      <c r="A1388">
        <v>19266151</v>
      </c>
      <c r="B1388">
        <v>2011</v>
      </c>
      <c r="C1388">
        <v>15.4671870170015</v>
      </c>
      <c r="D1388" t="s">
        <v>583</v>
      </c>
      <c r="E1388" t="s">
        <v>565</v>
      </c>
      <c r="F1388" t="s">
        <v>119</v>
      </c>
    </row>
    <row r="1389" spans="1:6" x14ac:dyDescent="0.2">
      <c r="A1389">
        <v>41295707</v>
      </c>
      <c r="B1389">
        <v>2020</v>
      </c>
      <c r="C1389">
        <v>67.027513655575703</v>
      </c>
      <c r="D1389" t="s">
        <v>203</v>
      </c>
      <c r="E1389" t="s">
        <v>204</v>
      </c>
      <c r="F1389" t="s">
        <v>205</v>
      </c>
    </row>
    <row r="1390" spans="1:6" x14ac:dyDescent="0.2">
      <c r="A1390">
        <v>41295707</v>
      </c>
      <c r="B1390">
        <v>2019</v>
      </c>
      <c r="C1390">
        <v>88.437161159902899</v>
      </c>
      <c r="D1390" t="s">
        <v>203</v>
      </c>
      <c r="E1390" t="s">
        <v>204</v>
      </c>
      <c r="F1390" t="s">
        <v>205</v>
      </c>
    </row>
    <row r="1391" spans="1:6" x14ac:dyDescent="0.2">
      <c r="A1391">
        <v>41295707</v>
      </c>
      <c r="B1391">
        <v>2018</v>
      </c>
      <c r="C1391">
        <v>73.305537211518498</v>
      </c>
      <c r="D1391" t="s">
        <v>203</v>
      </c>
      <c r="E1391" t="s">
        <v>204</v>
      </c>
      <c r="F1391" t="s">
        <v>205</v>
      </c>
    </row>
    <row r="1392" spans="1:6" x14ac:dyDescent="0.2">
      <c r="A1392">
        <v>41295707</v>
      </c>
      <c r="B1392">
        <v>2017</v>
      </c>
      <c r="C1392">
        <v>56.193869155190299</v>
      </c>
      <c r="D1392" t="s">
        <v>203</v>
      </c>
      <c r="E1392" t="s">
        <v>204</v>
      </c>
      <c r="F1392" t="s">
        <v>205</v>
      </c>
    </row>
    <row r="1393" spans="1:6" x14ac:dyDescent="0.2">
      <c r="A1393">
        <v>41295707</v>
      </c>
      <c r="B1393">
        <v>2016</v>
      </c>
      <c r="C1393">
        <v>53.113503920391402</v>
      </c>
      <c r="D1393" t="s">
        <v>203</v>
      </c>
      <c r="E1393" t="s">
        <v>204</v>
      </c>
      <c r="F1393" t="s">
        <v>205</v>
      </c>
    </row>
    <row r="1394" spans="1:6" x14ac:dyDescent="0.2">
      <c r="A1394">
        <v>41295707</v>
      </c>
      <c r="B1394">
        <v>2015</v>
      </c>
      <c r="C1394">
        <v>52.864521082788301</v>
      </c>
      <c r="D1394" t="s">
        <v>203</v>
      </c>
      <c r="E1394" t="s">
        <v>204</v>
      </c>
      <c r="F1394" t="s">
        <v>205</v>
      </c>
    </row>
    <row r="1395" spans="1:6" x14ac:dyDescent="0.2">
      <c r="A1395">
        <v>18773916</v>
      </c>
      <c r="B1395">
        <v>2020</v>
      </c>
      <c r="C1395">
        <v>47.9</v>
      </c>
      <c r="D1395" t="s">
        <v>781</v>
      </c>
      <c r="E1395" t="s">
        <v>782</v>
      </c>
      <c r="F1395" t="s">
        <v>330</v>
      </c>
    </row>
    <row r="1396" spans="1:6" x14ac:dyDescent="0.2">
      <c r="A1396">
        <v>18773916</v>
      </c>
      <c r="B1396">
        <v>2019</v>
      </c>
      <c r="C1396">
        <v>43.181818181818201</v>
      </c>
      <c r="D1396" t="s">
        <v>781</v>
      </c>
      <c r="E1396" t="s">
        <v>782</v>
      </c>
      <c r="F1396" t="s">
        <v>330</v>
      </c>
    </row>
    <row r="1397" spans="1:6" x14ac:dyDescent="0.2">
      <c r="A1397">
        <v>18773916</v>
      </c>
      <c r="B1397">
        <v>2018</v>
      </c>
      <c r="C1397">
        <v>41.571428571428598</v>
      </c>
      <c r="D1397" t="s">
        <v>781</v>
      </c>
      <c r="E1397" t="s">
        <v>782</v>
      </c>
      <c r="F1397" t="s">
        <v>330</v>
      </c>
    </row>
    <row r="1398" spans="1:6" x14ac:dyDescent="0.2">
      <c r="A1398">
        <v>18773916</v>
      </c>
      <c r="B1398">
        <v>2017</v>
      </c>
      <c r="C1398">
        <v>51.075000000000003</v>
      </c>
      <c r="D1398" t="s">
        <v>781</v>
      </c>
      <c r="E1398" t="s">
        <v>782</v>
      </c>
      <c r="F1398" t="s">
        <v>330</v>
      </c>
    </row>
    <row r="1399" spans="1:6" x14ac:dyDescent="0.2">
      <c r="A1399">
        <v>18773916</v>
      </c>
      <c r="B1399">
        <v>2016</v>
      </c>
      <c r="C1399">
        <v>34.6</v>
      </c>
      <c r="D1399" t="s">
        <v>781</v>
      </c>
      <c r="E1399" t="s">
        <v>782</v>
      </c>
      <c r="F1399" t="s">
        <v>330</v>
      </c>
    </row>
    <row r="1400" spans="1:6" x14ac:dyDescent="0.2">
      <c r="A1400">
        <v>18773916</v>
      </c>
      <c r="B1400">
        <v>2015</v>
      </c>
      <c r="C1400">
        <v>40.857142857142897</v>
      </c>
      <c r="D1400" t="s">
        <v>781</v>
      </c>
      <c r="E1400" t="s">
        <v>782</v>
      </c>
      <c r="F1400" t="s">
        <v>330</v>
      </c>
    </row>
    <row r="1401" spans="1:6" x14ac:dyDescent="0.2">
      <c r="A1401">
        <v>58328826</v>
      </c>
      <c r="B1401">
        <v>2020</v>
      </c>
      <c r="C1401">
        <v>46.378314956836597</v>
      </c>
      <c r="D1401" t="s">
        <v>1076</v>
      </c>
      <c r="E1401" t="s">
        <v>32</v>
      </c>
      <c r="F1401" t="s">
        <v>33</v>
      </c>
    </row>
    <row r="1402" spans="1:6" x14ac:dyDescent="0.2">
      <c r="A1402">
        <v>58328826</v>
      </c>
      <c r="B1402">
        <v>2019</v>
      </c>
      <c r="C1402">
        <v>53.213963765871902</v>
      </c>
      <c r="D1402" t="s">
        <v>1076</v>
      </c>
      <c r="E1402" t="s">
        <v>32</v>
      </c>
      <c r="F1402" t="s">
        <v>33</v>
      </c>
    </row>
    <row r="1403" spans="1:6" x14ac:dyDescent="0.2">
      <c r="A1403">
        <v>58328826</v>
      </c>
      <c r="B1403">
        <v>2015</v>
      </c>
      <c r="C1403">
        <v>53.146258503401398</v>
      </c>
      <c r="D1403" t="s">
        <v>1076</v>
      </c>
      <c r="E1403" t="s">
        <v>32</v>
      </c>
      <c r="F1403" t="s">
        <v>33</v>
      </c>
    </row>
    <row r="1404" spans="1:6" x14ac:dyDescent="0.2">
      <c r="A1404">
        <v>40868030</v>
      </c>
      <c r="B1404">
        <v>2019</v>
      </c>
      <c r="C1404">
        <v>31.597573306370101</v>
      </c>
      <c r="D1404" t="s">
        <v>1035</v>
      </c>
      <c r="E1404" t="s">
        <v>18</v>
      </c>
      <c r="F1404" t="s">
        <v>19</v>
      </c>
    </row>
    <row r="1405" spans="1:6" x14ac:dyDescent="0.2">
      <c r="A1405">
        <v>40868030</v>
      </c>
      <c r="B1405">
        <v>2016</v>
      </c>
      <c r="C1405">
        <v>34.997816276022697</v>
      </c>
      <c r="D1405" t="s">
        <v>1035</v>
      </c>
      <c r="E1405" t="s">
        <v>18</v>
      </c>
      <c r="F1405" t="s">
        <v>19</v>
      </c>
    </row>
    <row r="1406" spans="1:6" x14ac:dyDescent="0.2">
      <c r="A1406">
        <v>47479080</v>
      </c>
      <c r="B1406">
        <v>2020</v>
      </c>
      <c r="C1406">
        <v>9.9602609277533904</v>
      </c>
      <c r="D1406" t="s">
        <v>1018</v>
      </c>
      <c r="E1406" t="s">
        <v>1019</v>
      </c>
      <c r="F1406" t="s">
        <v>137</v>
      </c>
    </row>
    <row r="1407" spans="1:6" x14ac:dyDescent="0.2">
      <c r="A1407">
        <v>47479080</v>
      </c>
      <c r="B1407">
        <v>2019</v>
      </c>
      <c r="C1407">
        <v>7.4706126678480498</v>
      </c>
      <c r="D1407" t="s">
        <v>1018</v>
      </c>
      <c r="E1407" t="s">
        <v>1019</v>
      </c>
      <c r="F1407" t="s">
        <v>137</v>
      </c>
    </row>
    <row r="1408" spans="1:6" x14ac:dyDescent="0.2">
      <c r="A1408">
        <v>47479080</v>
      </c>
      <c r="B1408">
        <v>2018</v>
      </c>
      <c r="C1408">
        <v>12.384599179647299</v>
      </c>
      <c r="D1408" t="s">
        <v>1018</v>
      </c>
      <c r="E1408" t="s">
        <v>1019</v>
      </c>
      <c r="F1408" t="s">
        <v>137</v>
      </c>
    </row>
    <row r="1409" spans="1:6" x14ac:dyDescent="0.2">
      <c r="A1409">
        <v>22732420</v>
      </c>
      <c r="B1409">
        <v>2020</v>
      </c>
      <c r="C1409">
        <v>22.271079005225101</v>
      </c>
      <c r="D1409" t="s">
        <v>755</v>
      </c>
      <c r="E1409" t="s">
        <v>756</v>
      </c>
      <c r="F1409" t="s">
        <v>144</v>
      </c>
    </row>
    <row r="1410" spans="1:6" x14ac:dyDescent="0.2">
      <c r="A1410">
        <v>22732420</v>
      </c>
      <c r="B1410">
        <v>2019</v>
      </c>
      <c r="C1410">
        <v>26.283449380832799</v>
      </c>
      <c r="D1410" t="s">
        <v>755</v>
      </c>
      <c r="E1410" t="s">
        <v>756</v>
      </c>
      <c r="F1410" t="s">
        <v>144</v>
      </c>
    </row>
    <row r="1411" spans="1:6" x14ac:dyDescent="0.2">
      <c r="A1411">
        <v>22732420</v>
      </c>
      <c r="B1411">
        <v>2018</v>
      </c>
      <c r="C1411">
        <v>24.477762157176901</v>
      </c>
      <c r="D1411" t="s">
        <v>755</v>
      </c>
      <c r="E1411" t="s">
        <v>756</v>
      </c>
      <c r="F1411" t="s">
        <v>144</v>
      </c>
    </row>
    <row r="1412" spans="1:6" x14ac:dyDescent="0.2">
      <c r="A1412">
        <v>22732420</v>
      </c>
      <c r="B1412">
        <v>2017</v>
      </c>
      <c r="C1412">
        <v>23.041409432258501</v>
      </c>
      <c r="D1412" t="s">
        <v>755</v>
      </c>
      <c r="E1412" t="s">
        <v>756</v>
      </c>
      <c r="F1412" t="s">
        <v>144</v>
      </c>
    </row>
    <row r="1413" spans="1:6" x14ac:dyDescent="0.2">
      <c r="A1413">
        <v>22732420</v>
      </c>
      <c r="B1413">
        <v>2016</v>
      </c>
      <c r="C1413">
        <v>22.801100077744699</v>
      </c>
      <c r="D1413" t="s">
        <v>755</v>
      </c>
      <c r="E1413" t="s">
        <v>756</v>
      </c>
      <c r="F1413" t="s">
        <v>144</v>
      </c>
    </row>
    <row r="1414" spans="1:6" x14ac:dyDescent="0.2">
      <c r="A1414">
        <v>22732420</v>
      </c>
      <c r="B1414">
        <v>2015</v>
      </c>
      <c r="C1414">
        <v>19.3633335915111</v>
      </c>
      <c r="D1414" t="s">
        <v>755</v>
      </c>
      <c r="E1414" t="s">
        <v>756</v>
      </c>
      <c r="F1414" t="s">
        <v>144</v>
      </c>
    </row>
    <row r="1415" spans="1:6" x14ac:dyDescent="0.2">
      <c r="A1415">
        <v>22732420</v>
      </c>
      <c r="B1415">
        <v>2014</v>
      </c>
      <c r="C1415">
        <v>23.586262440315299</v>
      </c>
      <c r="D1415" t="s">
        <v>755</v>
      </c>
      <c r="E1415" t="s">
        <v>756</v>
      </c>
      <c r="F1415" t="s">
        <v>144</v>
      </c>
    </row>
    <row r="1416" spans="1:6" x14ac:dyDescent="0.2">
      <c r="A1416">
        <v>22732420</v>
      </c>
      <c r="B1416">
        <v>2013</v>
      </c>
      <c r="C1416">
        <v>24.456521739130402</v>
      </c>
      <c r="D1416" t="s">
        <v>755</v>
      </c>
      <c r="E1416" t="s">
        <v>756</v>
      </c>
      <c r="F1416" t="s">
        <v>144</v>
      </c>
    </row>
    <row r="1417" spans="1:6" x14ac:dyDescent="0.2">
      <c r="A1417">
        <v>22732420</v>
      </c>
      <c r="B1417">
        <v>2012</v>
      </c>
      <c r="C1417">
        <v>25.128205128205099</v>
      </c>
      <c r="D1417" t="s">
        <v>755</v>
      </c>
      <c r="E1417" t="s">
        <v>756</v>
      </c>
      <c r="F1417" t="s">
        <v>144</v>
      </c>
    </row>
    <row r="1418" spans="1:6" x14ac:dyDescent="0.2">
      <c r="A1418">
        <v>12318549</v>
      </c>
      <c r="B1418">
        <v>2020</v>
      </c>
      <c r="C1418">
        <v>73.148285070747605</v>
      </c>
      <c r="D1418" t="s">
        <v>303</v>
      </c>
      <c r="E1418" t="s">
        <v>304</v>
      </c>
      <c r="F1418" t="s">
        <v>33</v>
      </c>
    </row>
    <row r="1419" spans="1:6" x14ac:dyDescent="0.2">
      <c r="A1419">
        <v>12318549</v>
      </c>
      <c r="B1419">
        <v>2019</v>
      </c>
      <c r="C1419">
        <v>68.136884265079701</v>
      </c>
      <c r="D1419" t="s">
        <v>303</v>
      </c>
      <c r="E1419" t="s">
        <v>304</v>
      </c>
      <c r="F1419" t="s">
        <v>33</v>
      </c>
    </row>
    <row r="1420" spans="1:6" x14ac:dyDescent="0.2">
      <c r="A1420">
        <v>12318549</v>
      </c>
      <c r="B1420">
        <v>2018</v>
      </c>
      <c r="C1420">
        <v>67.451898976578207</v>
      </c>
      <c r="D1420" t="s">
        <v>303</v>
      </c>
      <c r="E1420" t="s">
        <v>304</v>
      </c>
      <c r="F1420" t="s">
        <v>33</v>
      </c>
    </row>
    <row r="1421" spans="1:6" x14ac:dyDescent="0.2">
      <c r="A1421">
        <v>12318549</v>
      </c>
      <c r="B1421">
        <v>2017</v>
      </c>
      <c r="C1421">
        <v>63.103493758520599</v>
      </c>
      <c r="D1421" t="s">
        <v>303</v>
      </c>
      <c r="E1421" t="s">
        <v>304</v>
      </c>
      <c r="F1421" t="s">
        <v>33</v>
      </c>
    </row>
    <row r="1422" spans="1:6" x14ac:dyDescent="0.2">
      <c r="A1422">
        <v>12318549</v>
      </c>
      <c r="B1422">
        <v>2015</v>
      </c>
      <c r="C1422">
        <v>58.704787718658899</v>
      </c>
      <c r="D1422" t="s">
        <v>303</v>
      </c>
      <c r="E1422" t="s">
        <v>304</v>
      </c>
      <c r="F1422" t="s">
        <v>33</v>
      </c>
    </row>
    <row r="1423" spans="1:6" x14ac:dyDescent="0.2">
      <c r="A1423">
        <v>12318549</v>
      </c>
      <c r="B1423">
        <v>2014</v>
      </c>
      <c r="C1423">
        <v>61.811313801363603</v>
      </c>
      <c r="D1423" t="s">
        <v>303</v>
      </c>
      <c r="E1423" t="s">
        <v>304</v>
      </c>
      <c r="F1423" t="s">
        <v>33</v>
      </c>
    </row>
    <row r="1424" spans="1:6" x14ac:dyDescent="0.2">
      <c r="A1424">
        <v>12318549</v>
      </c>
      <c r="B1424">
        <v>2013</v>
      </c>
      <c r="C1424">
        <v>53.205128205128197</v>
      </c>
      <c r="D1424" t="s">
        <v>303</v>
      </c>
      <c r="E1424" t="s">
        <v>304</v>
      </c>
      <c r="F1424" t="s">
        <v>33</v>
      </c>
    </row>
    <row r="1425" spans="1:6" x14ac:dyDescent="0.2">
      <c r="A1425">
        <v>12318549</v>
      </c>
      <c r="B1425">
        <v>2012</v>
      </c>
      <c r="C1425">
        <v>46.116504854368898</v>
      </c>
      <c r="D1425" t="s">
        <v>303</v>
      </c>
      <c r="E1425" t="s">
        <v>304</v>
      </c>
      <c r="F1425" t="s">
        <v>33</v>
      </c>
    </row>
    <row r="1426" spans="1:6" x14ac:dyDescent="0.2">
      <c r="A1426">
        <v>12318549</v>
      </c>
      <c r="B1426">
        <v>2011</v>
      </c>
      <c r="C1426">
        <v>59.278350515463899</v>
      </c>
      <c r="D1426" t="s">
        <v>303</v>
      </c>
      <c r="E1426" t="s">
        <v>304</v>
      </c>
      <c r="F1426" t="s">
        <v>33</v>
      </c>
    </row>
    <row r="1427" spans="1:6" x14ac:dyDescent="0.2">
      <c r="A1427">
        <v>12318549</v>
      </c>
      <c r="B1427">
        <v>2010</v>
      </c>
      <c r="C1427">
        <v>48.076923076923102</v>
      </c>
      <c r="D1427" t="s">
        <v>303</v>
      </c>
      <c r="E1427" t="s">
        <v>304</v>
      </c>
      <c r="F1427" t="s">
        <v>33</v>
      </c>
    </row>
    <row r="1428" spans="1:6" x14ac:dyDescent="0.2">
      <c r="A1428">
        <v>95849821</v>
      </c>
      <c r="B1428">
        <v>2020</v>
      </c>
      <c r="C1428">
        <v>34.9998997966986</v>
      </c>
      <c r="D1428" t="s">
        <v>134</v>
      </c>
      <c r="E1428"/>
      <c r="F1428" t="s">
        <v>7</v>
      </c>
    </row>
    <row r="1429" spans="1:6" x14ac:dyDescent="0.2">
      <c r="A1429">
        <v>95849821</v>
      </c>
      <c r="B1429">
        <v>2019</v>
      </c>
      <c r="C1429">
        <v>34.975784847060197</v>
      </c>
      <c r="D1429" t="s">
        <v>134</v>
      </c>
      <c r="E1429"/>
      <c r="F1429" t="s">
        <v>7</v>
      </c>
    </row>
    <row r="1430" spans="1:6" x14ac:dyDescent="0.2">
      <c r="A1430">
        <v>95849821</v>
      </c>
      <c r="B1430">
        <v>2018</v>
      </c>
      <c r="C1430">
        <v>37.969558955194799</v>
      </c>
      <c r="D1430" t="s">
        <v>134</v>
      </c>
      <c r="E1430"/>
      <c r="F1430" t="s">
        <v>7</v>
      </c>
    </row>
    <row r="1431" spans="1:6" x14ac:dyDescent="0.2">
      <c r="A1431">
        <v>95849821</v>
      </c>
      <c r="B1431">
        <v>2017</v>
      </c>
      <c r="C1431">
        <v>31.6678395496129</v>
      </c>
      <c r="D1431" t="s">
        <v>134</v>
      </c>
      <c r="E1431"/>
      <c r="F1431" t="s">
        <v>7</v>
      </c>
    </row>
    <row r="1432" spans="1:6" x14ac:dyDescent="0.2">
      <c r="A1432">
        <v>95849821</v>
      </c>
      <c r="B1432">
        <v>2016</v>
      </c>
      <c r="C1432">
        <v>27.347031445112901</v>
      </c>
      <c r="D1432" t="s">
        <v>134</v>
      </c>
      <c r="E1432"/>
      <c r="F1432" t="s">
        <v>7</v>
      </c>
    </row>
    <row r="1433" spans="1:6" x14ac:dyDescent="0.2">
      <c r="A1433">
        <v>95849821</v>
      </c>
      <c r="B1433">
        <v>2015</v>
      </c>
      <c r="C1433">
        <v>24.660880745740901</v>
      </c>
      <c r="D1433" t="s">
        <v>134</v>
      </c>
      <c r="E1433"/>
      <c r="F1433" t="s">
        <v>7</v>
      </c>
    </row>
    <row r="1434" spans="1:6" x14ac:dyDescent="0.2">
      <c r="A1434">
        <v>95849821</v>
      </c>
      <c r="B1434">
        <v>2014</v>
      </c>
      <c r="C1434">
        <v>32.884292647525697</v>
      </c>
      <c r="D1434" t="s">
        <v>134</v>
      </c>
      <c r="E1434"/>
      <c r="F1434" t="s">
        <v>7</v>
      </c>
    </row>
    <row r="1435" spans="1:6" x14ac:dyDescent="0.2">
      <c r="A1435">
        <v>95849821</v>
      </c>
      <c r="B1435">
        <v>2013</v>
      </c>
      <c r="C1435">
        <v>27.054112554112599</v>
      </c>
      <c r="D1435" t="s">
        <v>134</v>
      </c>
      <c r="E1435"/>
      <c r="F1435" t="s">
        <v>7</v>
      </c>
    </row>
    <row r="1436" spans="1:6" x14ac:dyDescent="0.2">
      <c r="A1436">
        <v>95849821</v>
      </c>
      <c r="B1436">
        <v>2012</v>
      </c>
      <c r="C1436">
        <v>26.748971193415599</v>
      </c>
      <c r="D1436" t="s">
        <v>134</v>
      </c>
      <c r="E1436"/>
      <c r="F1436" t="s">
        <v>7</v>
      </c>
    </row>
    <row r="1437" spans="1:6" x14ac:dyDescent="0.2">
      <c r="A1437">
        <v>95849821</v>
      </c>
      <c r="B1437">
        <v>2011</v>
      </c>
      <c r="C1437">
        <v>27.004830917874401</v>
      </c>
      <c r="D1437" t="s">
        <v>134</v>
      </c>
      <c r="E1437"/>
      <c r="F1437" t="s">
        <v>7</v>
      </c>
    </row>
    <row r="1438" spans="1:6" x14ac:dyDescent="0.2">
      <c r="A1438">
        <v>95849821</v>
      </c>
      <c r="B1438">
        <v>2010</v>
      </c>
      <c r="C1438">
        <v>35.802469135802497</v>
      </c>
      <c r="D1438" t="s">
        <v>134</v>
      </c>
      <c r="E1438"/>
      <c r="F1438" t="s">
        <v>7</v>
      </c>
    </row>
    <row r="1439" spans="1:6" x14ac:dyDescent="0.2">
      <c r="A1439">
        <v>32580145</v>
      </c>
      <c r="B1439">
        <v>2020</v>
      </c>
      <c r="C1439">
        <v>58.762053505520697</v>
      </c>
      <c r="D1439" t="s">
        <v>932</v>
      </c>
      <c r="E1439" t="s">
        <v>32</v>
      </c>
      <c r="F1439" t="s">
        <v>33</v>
      </c>
    </row>
    <row r="1440" spans="1:6" x14ac:dyDescent="0.2">
      <c r="A1440">
        <v>32580145</v>
      </c>
      <c r="B1440">
        <v>2019</v>
      </c>
      <c r="C1440">
        <v>55.091372367020398</v>
      </c>
      <c r="D1440" t="s">
        <v>932</v>
      </c>
      <c r="E1440" t="s">
        <v>32</v>
      </c>
      <c r="F1440" t="s">
        <v>33</v>
      </c>
    </row>
    <row r="1441" spans="1:6" x14ac:dyDescent="0.2">
      <c r="A1441">
        <v>17930578</v>
      </c>
      <c r="B1441">
        <v>2018</v>
      </c>
      <c r="C1441">
        <v>64.106464286055598</v>
      </c>
      <c r="D1441" t="s">
        <v>932</v>
      </c>
      <c r="E1441" t="s">
        <v>1024</v>
      </c>
      <c r="F1441" t="s">
        <v>622</v>
      </c>
    </row>
    <row r="1442" spans="1:6" x14ac:dyDescent="0.2">
      <c r="A1442">
        <v>32580145</v>
      </c>
      <c r="B1442">
        <v>2018</v>
      </c>
      <c r="C1442">
        <v>53.891770405109199</v>
      </c>
      <c r="D1442" t="s">
        <v>932</v>
      </c>
      <c r="E1442" t="s">
        <v>32</v>
      </c>
      <c r="F1442" t="s">
        <v>33</v>
      </c>
    </row>
    <row r="1443" spans="1:6" x14ac:dyDescent="0.2">
      <c r="A1443">
        <v>32580145</v>
      </c>
      <c r="B1443">
        <v>2017</v>
      </c>
      <c r="C1443">
        <v>46.474231671817698</v>
      </c>
      <c r="D1443" t="s">
        <v>932</v>
      </c>
      <c r="E1443" t="s">
        <v>32</v>
      </c>
      <c r="F1443" t="s">
        <v>33</v>
      </c>
    </row>
    <row r="1444" spans="1:6" x14ac:dyDescent="0.2">
      <c r="A1444">
        <v>17930578</v>
      </c>
      <c r="B1444">
        <v>2015</v>
      </c>
      <c r="C1444">
        <v>60.262318326834503</v>
      </c>
      <c r="D1444" t="s">
        <v>932</v>
      </c>
      <c r="E1444" t="s">
        <v>1024</v>
      </c>
      <c r="F1444" t="s">
        <v>622</v>
      </c>
    </row>
    <row r="1445" spans="1:6" x14ac:dyDescent="0.2">
      <c r="A1445">
        <v>32580145</v>
      </c>
      <c r="B1445">
        <v>2015</v>
      </c>
      <c r="C1445">
        <v>41.188350340136097</v>
      </c>
      <c r="D1445" t="s">
        <v>932</v>
      </c>
      <c r="E1445" t="s">
        <v>32</v>
      </c>
      <c r="F1445" t="s">
        <v>33</v>
      </c>
    </row>
    <row r="1446" spans="1:6" x14ac:dyDescent="0.2">
      <c r="A1446">
        <v>55364240</v>
      </c>
      <c r="B1446">
        <v>2020</v>
      </c>
      <c r="C1446">
        <v>16.1825900550628</v>
      </c>
      <c r="D1446" t="s">
        <v>442</v>
      </c>
      <c r="E1446" t="s">
        <v>443</v>
      </c>
      <c r="F1446" t="s">
        <v>119</v>
      </c>
    </row>
    <row r="1447" spans="1:6" x14ac:dyDescent="0.2">
      <c r="A1447">
        <v>55364240</v>
      </c>
      <c r="B1447">
        <v>2019</v>
      </c>
      <c r="C1447">
        <v>11.1511781147268</v>
      </c>
      <c r="D1447" t="s">
        <v>442</v>
      </c>
      <c r="E1447" t="s">
        <v>443</v>
      </c>
      <c r="F1447" t="s">
        <v>119</v>
      </c>
    </row>
    <row r="1448" spans="1:6" x14ac:dyDescent="0.2">
      <c r="A1448">
        <v>97725152</v>
      </c>
      <c r="B1448">
        <v>2020</v>
      </c>
      <c r="C1448">
        <v>9.9352543149054906</v>
      </c>
      <c r="D1448" t="s">
        <v>259</v>
      </c>
      <c r="E1448"/>
      <c r="F1448" t="s">
        <v>258</v>
      </c>
    </row>
    <row r="1449" spans="1:6" x14ac:dyDescent="0.2">
      <c r="A1449">
        <v>97725152</v>
      </c>
      <c r="B1449">
        <v>2019</v>
      </c>
      <c r="C1449">
        <v>10.4078118347109</v>
      </c>
      <c r="D1449" t="s">
        <v>259</v>
      </c>
      <c r="E1449"/>
      <c r="F1449" t="s">
        <v>258</v>
      </c>
    </row>
    <row r="1450" spans="1:6" x14ac:dyDescent="0.2">
      <c r="A1450">
        <v>97725152</v>
      </c>
      <c r="B1450">
        <v>2018</v>
      </c>
      <c r="C1450">
        <v>11.469786718142201</v>
      </c>
      <c r="D1450" t="s">
        <v>259</v>
      </c>
      <c r="E1450"/>
      <c r="F1450" t="s">
        <v>258</v>
      </c>
    </row>
    <row r="1451" spans="1:6" x14ac:dyDescent="0.2">
      <c r="A1451">
        <v>97725152</v>
      </c>
      <c r="B1451">
        <v>2017</v>
      </c>
      <c r="C1451">
        <v>8.4743359932457292</v>
      </c>
      <c r="D1451" t="s">
        <v>259</v>
      </c>
      <c r="E1451"/>
      <c r="F1451" t="s">
        <v>258</v>
      </c>
    </row>
    <row r="1452" spans="1:6" x14ac:dyDescent="0.2">
      <c r="A1452">
        <v>97725152</v>
      </c>
      <c r="B1452">
        <v>2016</v>
      </c>
      <c r="C1452">
        <v>12.5776783494904</v>
      </c>
      <c r="D1452" t="s">
        <v>259</v>
      </c>
      <c r="E1452"/>
      <c r="F1452" t="s">
        <v>258</v>
      </c>
    </row>
    <row r="1453" spans="1:6" x14ac:dyDescent="0.2">
      <c r="A1453">
        <v>97725152</v>
      </c>
      <c r="B1453">
        <v>2015</v>
      </c>
      <c r="C1453">
        <v>11.641266567358</v>
      </c>
      <c r="D1453" t="s">
        <v>259</v>
      </c>
      <c r="E1453"/>
      <c r="F1453" t="s">
        <v>258</v>
      </c>
    </row>
    <row r="1454" spans="1:6" x14ac:dyDescent="0.2">
      <c r="A1454">
        <v>97725152</v>
      </c>
      <c r="B1454">
        <v>2014</v>
      </c>
      <c r="C1454">
        <v>14.979501734468601</v>
      </c>
      <c r="D1454" t="s">
        <v>259</v>
      </c>
      <c r="E1454"/>
      <c r="F1454" t="s">
        <v>258</v>
      </c>
    </row>
    <row r="1455" spans="1:6" x14ac:dyDescent="0.2">
      <c r="A1455">
        <v>97725152</v>
      </c>
      <c r="B1455">
        <v>2012</v>
      </c>
      <c r="C1455">
        <v>13.228883559818801</v>
      </c>
      <c r="D1455" t="s">
        <v>259</v>
      </c>
      <c r="E1455"/>
      <c r="F1455" t="s">
        <v>258</v>
      </c>
    </row>
    <row r="1456" spans="1:6" x14ac:dyDescent="0.2">
      <c r="A1456">
        <v>19319333</v>
      </c>
      <c r="B1456">
        <v>2020</v>
      </c>
      <c r="C1456">
        <v>42.149007716926597</v>
      </c>
      <c r="D1456" t="s">
        <v>213</v>
      </c>
      <c r="E1456" t="s">
        <v>214</v>
      </c>
      <c r="F1456" t="s">
        <v>7</v>
      </c>
    </row>
    <row r="1457" spans="1:6" x14ac:dyDescent="0.2">
      <c r="A1457">
        <v>19319333</v>
      </c>
      <c r="B1457">
        <v>2019</v>
      </c>
      <c r="C1457">
        <v>30.670039624795699</v>
      </c>
      <c r="D1457" t="s">
        <v>213</v>
      </c>
      <c r="E1457" t="s">
        <v>214</v>
      </c>
      <c r="F1457" t="s">
        <v>7</v>
      </c>
    </row>
    <row r="1458" spans="1:6" x14ac:dyDescent="0.2">
      <c r="A1458">
        <v>72301076</v>
      </c>
      <c r="B1458">
        <v>2018</v>
      </c>
      <c r="C1458">
        <v>74.775555555555599</v>
      </c>
      <c r="D1458" t="s">
        <v>213</v>
      </c>
      <c r="E1458" t="s">
        <v>925</v>
      </c>
      <c r="F1458" t="s">
        <v>1126</v>
      </c>
    </row>
    <row r="1459" spans="1:6" x14ac:dyDescent="0.2">
      <c r="A1459">
        <v>19319333</v>
      </c>
      <c r="B1459">
        <v>2018</v>
      </c>
      <c r="C1459">
        <v>35.2351023961441</v>
      </c>
      <c r="D1459" t="s">
        <v>213</v>
      </c>
      <c r="E1459" t="s">
        <v>214</v>
      </c>
      <c r="F1459" t="s">
        <v>7</v>
      </c>
    </row>
    <row r="1460" spans="1:6" x14ac:dyDescent="0.2">
      <c r="A1460">
        <v>19319333</v>
      </c>
      <c r="B1460">
        <v>2016</v>
      </c>
      <c r="C1460">
        <v>30.000162171804799</v>
      </c>
      <c r="D1460" t="s">
        <v>213</v>
      </c>
      <c r="E1460" t="s">
        <v>214</v>
      </c>
      <c r="F1460" t="s">
        <v>7</v>
      </c>
    </row>
    <row r="1461" spans="1:6" x14ac:dyDescent="0.2">
      <c r="A1461">
        <v>86180405</v>
      </c>
      <c r="B1461">
        <v>2016</v>
      </c>
      <c r="C1461">
        <v>95.8</v>
      </c>
      <c r="D1461" t="s">
        <v>424</v>
      </c>
      <c r="E1461"/>
      <c r="F1461" t="s">
        <v>425</v>
      </c>
    </row>
    <row r="1462" spans="1:6" x14ac:dyDescent="0.2">
      <c r="A1462">
        <v>86180405</v>
      </c>
      <c r="B1462">
        <v>2014</v>
      </c>
      <c r="C1462">
        <v>94.2804814233386</v>
      </c>
      <c r="D1462" t="s">
        <v>424</v>
      </c>
      <c r="E1462"/>
      <c r="F1462" t="s">
        <v>425</v>
      </c>
    </row>
    <row r="1463" spans="1:6" x14ac:dyDescent="0.2">
      <c r="A1463">
        <v>86180405</v>
      </c>
      <c r="B1463">
        <v>2013</v>
      </c>
      <c r="C1463">
        <v>86.6666666666667</v>
      </c>
      <c r="D1463" t="s">
        <v>424</v>
      </c>
      <c r="E1463"/>
      <c r="F1463" t="s">
        <v>425</v>
      </c>
    </row>
    <row r="1464" spans="1:6" x14ac:dyDescent="0.2">
      <c r="A1464">
        <v>87430053</v>
      </c>
      <c r="B1464">
        <v>2018</v>
      </c>
      <c r="C1464">
        <v>65.8333333333333</v>
      </c>
      <c r="D1464" t="s">
        <v>666</v>
      </c>
      <c r="E1464" t="s">
        <v>667</v>
      </c>
      <c r="F1464" t="s">
        <v>1126</v>
      </c>
    </row>
    <row r="1465" spans="1:6" x14ac:dyDescent="0.2">
      <c r="A1465">
        <v>87430053</v>
      </c>
      <c r="B1465">
        <v>2016</v>
      </c>
      <c r="C1465">
        <v>52.997999999999998</v>
      </c>
      <c r="D1465" t="s">
        <v>666</v>
      </c>
      <c r="E1465" t="s">
        <v>667</v>
      </c>
      <c r="F1465" t="s">
        <v>1126</v>
      </c>
    </row>
    <row r="1466" spans="1:6" x14ac:dyDescent="0.2">
      <c r="A1466">
        <v>87430053</v>
      </c>
      <c r="B1466">
        <v>2010</v>
      </c>
      <c r="C1466">
        <v>19.996666666666702</v>
      </c>
      <c r="D1466" t="s">
        <v>666</v>
      </c>
      <c r="E1466" t="s">
        <v>667</v>
      </c>
      <c r="F1466" t="s">
        <v>1126</v>
      </c>
    </row>
    <row r="1467" spans="1:6" x14ac:dyDescent="0.2">
      <c r="A1467">
        <v>86554931</v>
      </c>
      <c r="B1467">
        <v>2019</v>
      </c>
      <c r="C1467">
        <v>36.936130202153599</v>
      </c>
      <c r="D1467" t="s">
        <v>333</v>
      </c>
      <c r="E1467" t="s">
        <v>132</v>
      </c>
      <c r="F1467" t="s">
        <v>7</v>
      </c>
    </row>
    <row r="1468" spans="1:6" x14ac:dyDescent="0.2">
      <c r="A1468">
        <v>86554931</v>
      </c>
      <c r="B1468">
        <v>2018</v>
      </c>
      <c r="C1468">
        <v>31.920277161430999</v>
      </c>
      <c r="D1468" t="s">
        <v>333</v>
      </c>
      <c r="E1468" t="s">
        <v>132</v>
      </c>
      <c r="F1468" t="s">
        <v>7</v>
      </c>
    </row>
    <row r="1469" spans="1:6" x14ac:dyDescent="0.2">
      <c r="A1469">
        <v>86554931</v>
      </c>
      <c r="B1469">
        <v>2017</v>
      </c>
      <c r="C1469">
        <v>33.213912524257402</v>
      </c>
      <c r="D1469" t="s">
        <v>333</v>
      </c>
      <c r="E1469" t="s">
        <v>132</v>
      </c>
      <c r="F1469" t="s">
        <v>7</v>
      </c>
    </row>
    <row r="1470" spans="1:6" x14ac:dyDescent="0.2">
      <c r="A1470">
        <v>63786755</v>
      </c>
      <c r="B1470">
        <v>2020</v>
      </c>
      <c r="C1470">
        <v>24.026524927241301</v>
      </c>
      <c r="D1470" t="s">
        <v>228</v>
      </c>
      <c r="E1470" t="s">
        <v>229</v>
      </c>
      <c r="F1470" t="s">
        <v>230</v>
      </c>
    </row>
    <row r="1471" spans="1:6" x14ac:dyDescent="0.2">
      <c r="A1471">
        <v>63786755</v>
      </c>
      <c r="B1471">
        <v>2019</v>
      </c>
      <c r="C1471">
        <v>24.810271105240801</v>
      </c>
      <c r="D1471" t="s">
        <v>228</v>
      </c>
      <c r="E1471" t="s">
        <v>229</v>
      </c>
      <c r="F1471" t="s">
        <v>230</v>
      </c>
    </row>
    <row r="1472" spans="1:6" x14ac:dyDescent="0.2">
      <c r="A1472">
        <v>63786755</v>
      </c>
      <c r="B1472">
        <v>2018</v>
      </c>
      <c r="C1472">
        <v>28.419265055081901</v>
      </c>
      <c r="D1472" t="s">
        <v>228</v>
      </c>
      <c r="E1472" t="s">
        <v>229</v>
      </c>
      <c r="F1472" t="s">
        <v>230</v>
      </c>
    </row>
    <row r="1473" spans="1:6" x14ac:dyDescent="0.2">
      <c r="A1473">
        <v>63786755</v>
      </c>
      <c r="B1473">
        <v>2017</v>
      </c>
      <c r="C1473">
        <v>22.633975220182101</v>
      </c>
      <c r="D1473" t="s">
        <v>228</v>
      </c>
      <c r="E1473" t="s">
        <v>229</v>
      </c>
      <c r="F1473" t="s">
        <v>230</v>
      </c>
    </row>
    <row r="1474" spans="1:6" x14ac:dyDescent="0.2">
      <c r="A1474">
        <v>63786755</v>
      </c>
      <c r="B1474">
        <v>2016</v>
      </c>
      <c r="C1474">
        <v>22.0882052446362</v>
      </c>
      <c r="D1474" t="s">
        <v>228</v>
      </c>
      <c r="E1474" t="s">
        <v>229</v>
      </c>
      <c r="F1474" t="s">
        <v>230</v>
      </c>
    </row>
    <row r="1475" spans="1:6" x14ac:dyDescent="0.2">
      <c r="A1475">
        <v>63786755</v>
      </c>
      <c r="B1475">
        <v>2015</v>
      </c>
      <c r="C1475">
        <v>20.6067458074242</v>
      </c>
      <c r="D1475" t="s">
        <v>228</v>
      </c>
      <c r="E1475" t="s">
        <v>229</v>
      </c>
      <c r="F1475" t="s">
        <v>230</v>
      </c>
    </row>
    <row r="1476" spans="1:6" x14ac:dyDescent="0.2">
      <c r="A1476">
        <v>63786755</v>
      </c>
      <c r="B1476">
        <v>2014</v>
      </c>
      <c r="C1476">
        <v>24.935365355830701</v>
      </c>
      <c r="D1476" t="s">
        <v>228</v>
      </c>
      <c r="E1476" t="s">
        <v>229</v>
      </c>
      <c r="F1476" t="s">
        <v>230</v>
      </c>
    </row>
    <row r="1477" spans="1:6" x14ac:dyDescent="0.2">
      <c r="A1477">
        <v>63786755</v>
      </c>
      <c r="B1477">
        <v>2013</v>
      </c>
      <c r="C1477">
        <v>24.891774891774901</v>
      </c>
      <c r="D1477" t="s">
        <v>228</v>
      </c>
      <c r="E1477" t="s">
        <v>229</v>
      </c>
      <c r="F1477" t="s">
        <v>230</v>
      </c>
    </row>
    <row r="1478" spans="1:6" x14ac:dyDescent="0.2">
      <c r="A1478">
        <v>63786755</v>
      </c>
      <c r="B1478">
        <v>2012</v>
      </c>
      <c r="C1478">
        <v>24.6913580246914</v>
      </c>
      <c r="D1478" t="s">
        <v>228</v>
      </c>
      <c r="E1478" t="s">
        <v>229</v>
      </c>
      <c r="F1478" t="s">
        <v>230</v>
      </c>
    </row>
    <row r="1479" spans="1:6" x14ac:dyDescent="0.2">
      <c r="A1479">
        <v>63786755</v>
      </c>
      <c r="B1479">
        <v>2011</v>
      </c>
      <c r="C1479">
        <v>28.985507246376802</v>
      </c>
      <c r="D1479" t="s">
        <v>228</v>
      </c>
      <c r="E1479" t="s">
        <v>229</v>
      </c>
      <c r="F1479" t="s">
        <v>230</v>
      </c>
    </row>
    <row r="1480" spans="1:6" x14ac:dyDescent="0.2">
      <c r="A1480">
        <v>63786755</v>
      </c>
      <c r="B1480">
        <v>2010</v>
      </c>
      <c r="C1480">
        <v>29.506172839506199</v>
      </c>
      <c r="D1480" t="s">
        <v>228</v>
      </c>
      <c r="E1480" t="s">
        <v>229</v>
      </c>
      <c r="F1480" t="s">
        <v>230</v>
      </c>
    </row>
    <row r="1481" spans="1:6" x14ac:dyDescent="0.2">
      <c r="A1481">
        <v>64262032</v>
      </c>
      <c r="B1481">
        <v>2018</v>
      </c>
      <c r="C1481">
        <v>67.8</v>
      </c>
      <c r="D1481" t="s">
        <v>837</v>
      </c>
      <c r="E1481" t="s">
        <v>624</v>
      </c>
      <c r="F1481" t="s">
        <v>1126</v>
      </c>
    </row>
    <row r="1482" spans="1:6" x14ac:dyDescent="0.2">
      <c r="A1482">
        <v>27959712</v>
      </c>
      <c r="B1482">
        <v>2020</v>
      </c>
      <c r="C1482">
        <v>34.3752992181916</v>
      </c>
      <c r="D1482" t="s">
        <v>959</v>
      </c>
      <c r="E1482"/>
      <c r="F1482" t="s">
        <v>198</v>
      </c>
    </row>
    <row r="1483" spans="1:6" x14ac:dyDescent="0.2">
      <c r="A1483">
        <v>27959712</v>
      </c>
      <c r="B1483">
        <v>2019</v>
      </c>
      <c r="C1483">
        <v>24.9986940980695</v>
      </c>
      <c r="D1483" t="s">
        <v>959</v>
      </c>
      <c r="E1483"/>
      <c r="F1483" t="s">
        <v>198</v>
      </c>
    </row>
    <row r="1484" spans="1:6" x14ac:dyDescent="0.2">
      <c r="A1484">
        <v>27959712</v>
      </c>
      <c r="B1484">
        <v>2018</v>
      </c>
      <c r="C1484">
        <v>26.859745416326099</v>
      </c>
      <c r="D1484" t="s">
        <v>959</v>
      </c>
      <c r="E1484"/>
      <c r="F1484" t="s">
        <v>198</v>
      </c>
    </row>
    <row r="1485" spans="1:6" x14ac:dyDescent="0.2">
      <c r="A1485">
        <v>27959712</v>
      </c>
      <c r="B1485">
        <v>2016</v>
      </c>
      <c r="C1485">
        <v>23.385174253604301</v>
      </c>
      <c r="D1485" t="s">
        <v>959</v>
      </c>
      <c r="E1485"/>
      <c r="F1485" t="s">
        <v>198</v>
      </c>
    </row>
    <row r="1486" spans="1:6" x14ac:dyDescent="0.2">
      <c r="A1486">
        <v>27959712</v>
      </c>
      <c r="B1486">
        <v>2015</v>
      </c>
      <c r="C1486">
        <v>18.142076502732198</v>
      </c>
      <c r="D1486" t="s">
        <v>959</v>
      </c>
      <c r="E1486"/>
      <c r="F1486" t="s">
        <v>198</v>
      </c>
    </row>
    <row r="1487" spans="1:6" x14ac:dyDescent="0.2">
      <c r="A1487">
        <v>45455757</v>
      </c>
      <c r="B1487">
        <v>2020</v>
      </c>
      <c r="C1487">
        <v>41.665586285323997</v>
      </c>
      <c r="D1487" t="s">
        <v>658</v>
      </c>
      <c r="E1487" t="s">
        <v>659</v>
      </c>
      <c r="F1487" t="s">
        <v>342</v>
      </c>
    </row>
    <row r="1488" spans="1:6" x14ac:dyDescent="0.2">
      <c r="A1488">
        <v>83935243</v>
      </c>
      <c r="B1488">
        <v>2019</v>
      </c>
      <c r="C1488">
        <v>23.800056222898998</v>
      </c>
      <c r="D1488" t="s">
        <v>1011</v>
      </c>
      <c r="E1488" t="s">
        <v>1012</v>
      </c>
      <c r="F1488" t="s">
        <v>183</v>
      </c>
    </row>
    <row r="1489" spans="1:6" x14ac:dyDescent="0.2">
      <c r="A1489">
        <v>83935243</v>
      </c>
      <c r="B1489">
        <v>2018</v>
      </c>
      <c r="C1489">
        <v>31.736625118260299</v>
      </c>
      <c r="D1489" t="s">
        <v>1011</v>
      </c>
      <c r="E1489" t="s">
        <v>1012</v>
      </c>
      <c r="F1489" t="s">
        <v>183</v>
      </c>
    </row>
    <row r="1490" spans="1:6" x14ac:dyDescent="0.2">
      <c r="A1490">
        <v>32786525</v>
      </c>
      <c r="B1490">
        <v>2020</v>
      </c>
      <c r="C1490">
        <v>11.2125811818799</v>
      </c>
      <c r="D1490" t="s">
        <v>257</v>
      </c>
      <c r="E1490"/>
      <c r="F1490" t="s">
        <v>258</v>
      </c>
    </row>
    <row r="1491" spans="1:6" x14ac:dyDescent="0.2">
      <c r="A1491">
        <v>32786525</v>
      </c>
      <c r="B1491">
        <v>2019</v>
      </c>
      <c r="C1491">
        <v>11.376061673486401</v>
      </c>
      <c r="D1491" t="s">
        <v>257</v>
      </c>
      <c r="E1491"/>
      <c r="F1491" t="s">
        <v>258</v>
      </c>
    </row>
    <row r="1492" spans="1:6" x14ac:dyDescent="0.2">
      <c r="A1492">
        <v>32786525</v>
      </c>
      <c r="B1492">
        <v>2018</v>
      </c>
      <c r="C1492">
        <v>11.4227100880578</v>
      </c>
      <c r="D1492" t="s">
        <v>257</v>
      </c>
      <c r="E1492"/>
      <c r="F1492" t="s">
        <v>258</v>
      </c>
    </row>
    <row r="1493" spans="1:6" x14ac:dyDescent="0.2">
      <c r="A1493">
        <v>32786525</v>
      </c>
      <c r="B1493">
        <v>2017</v>
      </c>
      <c r="C1493">
        <v>13.1060319484963</v>
      </c>
      <c r="D1493" t="s">
        <v>257</v>
      </c>
      <c r="E1493"/>
      <c r="F1493" t="s">
        <v>258</v>
      </c>
    </row>
    <row r="1494" spans="1:6" x14ac:dyDescent="0.2">
      <c r="A1494">
        <v>32786525</v>
      </c>
      <c r="B1494">
        <v>2016</v>
      </c>
      <c r="C1494">
        <v>13.8223074464685</v>
      </c>
      <c r="D1494" t="s">
        <v>257</v>
      </c>
      <c r="E1494"/>
      <c r="F1494" t="s">
        <v>258</v>
      </c>
    </row>
    <row r="1495" spans="1:6" x14ac:dyDescent="0.2">
      <c r="A1495">
        <v>32786525</v>
      </c>
      <c r="B1495">
        <v>2015</v>
      </c>
      <c r="C1495">
        <v>11.376188839234599</v>
      </c>
      <c r="D1495" t="s">
        <v>257</v>
      </c>
      <c r="E1495"/>
      <c r="F1495" t="s">
        <v>258</v>
      </c>
    </row>
    <row r="1496" spans="1:6" x14ac:dyDescent="0.2">
      <c r="A1496">
        <v>32786525</v>
      </c>
      <c r="B1496">
        <v>2012</v>
      </c>
      <c r="C1496">
        <v>16.406474820143899</v>
      </c>
      <c r="D1496" t="s">
        <v>257</v>
      </c>
      <c r="E1496"/>
      <c r="F1496" t="s">
        <v>258</v>
      </c>
    </row>
    <row r="1497" spans="1:6" x14ac:dyDescent="0.2">
      <c r="A1497">
        <v>32786525</v>
      </c>
      <c r="B1497">
        <v>2011</v>
      </c>
      <c r="C1497">
        <v>23</v>
      </c>
      <c r="D1497" t="s">
        <v>257</v>
      </c>
      <c r="E1497"/>
      <c r="F1497" t="s">
        <v>258</v>
      </c>
    </row>
    <row r="1498" spans="1:6" x14ac:dyDescent="0.2">
      <c r="A1498">
        <v>83413926</v>
      </c>
      <c r="B1498">
        <v>2020</v>
      </c>
      <c r="C1498">
        <v>57.8210344855407</v>
      </c>
      <c r="D1498" t="s">
        <v>737</v>
      </c>
      <c r="E1498" t="s">
        <v>738</v>
      </c>
      <c r="F1498" t="s">
        <v>348</v>
      </c>
    </row>
    <row r="1499" spans="1:6" x14ac:dyDescent="0.2">
      <c r="A1499">
        <v>83413926</v>
      </c>
      <c r="B1499">
        <v>2019</v>
      </c>
      <c r="C1499">
        <v>52.643757954413999</v>
      </c>
      <c r="D1499" t="s">
        <v>737</v>
      </c>
      <c r="E1499" t="s">
        <v>738</v>
      </c>
      <c r="F1499" t="s">
        <v>348</v>
      </c>
    </row>
    <row r="1500" spans="1:6" x14ac:dyDescent="0.2">
      <c r="A1500">
        <v>81821193</v>
      </c>
      <c r="B1500">
        <v>2020</v>
      </c>
      <c r="C1500">
        <v>63.1421428571429</v>
      </c>
      <c r="D1500" t="s">
        <v>590</v>
      </c>
      <c r="E1500" t="s">
        <v>591</v>
      </c>
      <c r="F1500" t="s">
        <v>1126</v>
      </c>
    </row>
    <row r="1501" spans="1:6" x14ac:dyDescent="0.2">
      <c r="A1501">
        <v>81821193</v>
      </c>
      <c r="B1501">
        <v>2019</v>
      </c>
      <c r="C1501">
        <v>58.3</v>
      </c>
      <c r="D1501" t="s">
        <v>590</v>
      </c>
      <c r="E1501" t="s">
        <v>591</v>
      </c>
      <c r="F1501" t="s">
        <v>1126</v>
      </c>
    </row>
    <row r="1502" spans="1:6" x14ac:dyDescent="0.2">
      <c r="A1502">
        <v>81821193</v>
      </c>
      <c r="B1502">
        <v>2018</v>
      </c>
      <c r="C1502">
        <v>56.260588235294101</v>
      </c>
      <c r="D1502" t="s">
        <v>590</v>
      </c>
      <c r="E1502" t="s">
        <v>591</v>
      </c>
      <c r="F1502" t="s">
        <v>1126</v>
      </c>
    </row>
    <row r="1503" spans="1:6" x14ac:dyDescent="0.2">
      <c r="A1503">
        <v>81821193</v>
      </c>
      <c r="B1503">
        <v>2017</v>
      </c>
      <c r="C1503">
        <v>50.785714285714299</v>
      </c>
      <c r="D1503" t="s">
        <v>590</v>
      </c>
      <c r="E1503" t="s">
        <v>591</v>
      </c>
      <c r="F1503" t="s">
        <v>1126</v>
      </c>
    </row>
    <row r="1504" spans="1:6" x14ac:dyDescent="0.2">
      <c r="A1504">
        <v>81821193</v>
      </c>
      <c r="B1504">
        <v>2016</v>
      </c>
      <c r="C1504">
        <v>50.933333333333302</v>
      </c>
      <c r="D1504" t="s">
        <v>590</v>
      </c>
      <c r="E1504" t="s">
        <v>591</v>
      </c>
      <c r="F1504" t="s">
        <v>1126</v>
      </c>
    </row>
    <row r="1505" spans="1:6" x14ac:dyDescent="0.2">
      <c r="A1505">
        <v>81821193</v>
      </c>
      <c r="B1505">
        <v>2015</v>
      </c>
      <c r="C1505">
        <v>46.5</v>
      </c>
      <c r="D1505" t="s">
        <v>590</v>
      </c>
      <c r="E1505" t="s">
        <v>591</v>
      </c>
      <c r="F1505" t="s">
        <v>1126</v>
      </c>
    </row>
    <row r="1506" spans="1:6" x14ac:dyDescent="0.2">
      <c r="A1506">
        <v>81821193</v>
      </c>
      <c r="B1506">
        <v>2014</v>
      </c>
      <c r="C1506">
        <v>45</v>
      </c>
      <c r="D1506" t="s">
        <v>590</v>
      </c>
      <c r="E1506" t="s">
        <v>591</v>
      </c>
      <c r="F1506" t="s">
        <v>1126</v>
      </c>
    </row>
    <row r="1507" spans="1:6" x14ac:dyDescent="0.2">
      <c r="A1507">
        <v>81821193</v>
      </c>
      <c r="B1507">
        <v>2013</v>
      </c>
      <c r="C1507">
        <v>43.8</v>
      </c>
      <c r="D1507" t="s">
        <v>590</v>
      </c>
      <c r="E1507" t="s">
        <v>591</v>
      </c>
      <c r="F1507" t="s">
        <v>1126</v>
      </c>
    </row>
    <row r="1508" spans="1:6" x14ac:dyDescent="0.2">
      <c r="A1508">
        <v>81821193</v>
      </c>
      <c r="B1508">
        <v>2012</v>
      </c>
      <c r="C1508">
        <v>58.3333333333333</v>
      </c>
      <c r="D1508" t="s">
        <v>590</v>
      </c>
      <c r="E1508" t="s">
        <v>591</v>
      </c>
      <c r="F1508" t="s">
        <v>1126</v>
      </c>
    </row>
    <row r="1509" spans="1:6" x14ac:dyDescent="0.2">
      <c r="A1509">
        <v>81821193</v>
      </c>
      <c r="B1509">
        <v>2011</v>
      </c>
      <c r="C1509">
        <v>64.5</v>
      </c>
      <c r="D1509" t="s">
        <v>590</v>
      </c>
      <c r="E1509" t="s">
        <v>591</v>
      </c>
      <c r="F1509" t="s">
        <v>1126</v>
      </c>
    </row>
    <row r="1510" spans="1:6" x14ac:dyDescent="0.2">
      <c r="A1510">
        <v>81821193</v>
      </c>
      <c r="B1510">
        <v>2010</v>
      </c>
      <c r="C1510">
        <v>22</v>
      </c>
      <c r="D1510" t="s">
        <v>590</v>
      </c>
      <c r="E1510" t="s">
        <v>591</v>
      </c>
      <c r="F1510" t="s">
        <v>1126</v>
      </c>
    </row>
    <row r="1511" spans="1:6" x14ac:dyDescent="0.2">
      <c r="A1511">
        <v>47828127</v>
      </c>
      <c r="B1511">
        <v>2020</v>
      </c>
      <c r="C1511">
        <v>63</v>
      </c>
      <c r="D1511" t="s">
        <v>571</v>
      </c>
      <c r="E1511" t="s">
        <v>123</v>
      </c>
      <c r="F1511" t="s">
        <v>1126</v>
      </c>
    </row>
    <row r="1512" spans="1:6" x14ac:dyDescent="0.2">
      <c r="A1512">
        <v>47828127</v>
      </c>
      <c r="B1512">
        <v>2019</v>
      </c>
      <c r="C1512">
        <v>60.565384615384602</v>
      </c>
      <c r="D1512" t="s">
        <v>571</v>
      </c>
      <c r="E1512" t="s">
        <v>123</v>
      </c>
      <c r="F1512" t="s">
        <v>1126</v>
      </c>
    </row>
    <row r="1513" spans="1:6" x14ac:dyDescent="0.2">
      <c r="A1513">
        <v>47828127</v>
      </c>
      <c r="B1513">
        <v>2018</v>
      </c>
      <c r="C1513">
        <v>59.303030303030297</v>
      </c>
      <c r="D1513" t="s">
        <v>571</v>
      </c>
      <c r="E1513" t="s">
        <v>123</v>
      </c>
      <c r="F1513" t="s">
        <v>1126</v>
      </c>
    </row>
    <row r="1514" spans="1:6" x14ac:dyDescent="0.2">
      <c r="A1514">
        <v>47828127</v>
      </c>
      <c r="B1514">
        <v>2017</v>
      </c>
      <c r="C1514">
        <v>58.244222222222199</v>
      </c>
      <c r="D1514" t="s">
        <v>571</v>
      </c>
      <c r="E1514" t="s">
        <v>123</v>
      </c>
      <c r="F1514" t="s">
        <v>1126</v>
      </c>
    </row>
    <row r="1515" spans="1:6" x14ac:dyDescent="0.2">
      <c r="A1515">
        <v>47828127</v>
      </c>
      <c r="B1515">
        <v>2016</v>
      </c>
      <c r="C1515">
        <v>51.090363636363598</v>
      </c>
      <c r="D1515" t="s">
        <v>571</v>
      </c>
      <c r="E1515" t="s">
        <v>123</v>
      </c>
      <c r="F1515" t="s">
        <v>1126</v>
      </c>
    </row>
    <row r="1516" spans="1:6" x14ac:dyDescent="0.2">
      <c r="A1516">
        <v>47828127</v>
      </c>
      <c r="B1516">
        <v>2015</v>
      </c>
      <c r="C1516">
        <v>46.542571428571399</v>
      </c>
      <c r="D1516" t="s">
        <v>571</v>
      </c>
      <c r="E1516" t="s">
        <v>123</v>
      </c>
      <c r="F1516" t="s">
        <v>1126</v>
      </c>
    </row>
    <row r="1517" spans="1:6" x14ac:dyDescent="0.2">
      <c r="A1517">
        <v>47828127</v>
      </c>
      <c r="B1517">
        <v>2014</v>
      </c>
      <c r="C1517">
        <v>52.532666666666699</v>
      </c>
      <c r="D1517" t="s">
        <v>571</v>
      </c>
      <c r="E1517" t="s">
        <v>123</v>
      </c>
      <c r="F1517" t="s">
        <v>1126</v>
      </c>
    </row>
    <row r="1518" spans="1:6" x14ac:dyDescent="0.2">
      <c r="A1518">
        <v>47828127</v>
      </c>
      <c r="B1518">
        <v>2013</v>
      </c>
      <c r="C1518">
        <v>52.999333333333297</v>
      </c>
      <c r="D1518" t="s">
        <v>571</v>
      </c>
      <c r="E1518" t="s">
        <v>123</v>
      </c>
      <c r="F1518" t="s">
        <v>1126</v>
      </c>
    </row>
    <row r="1519" spans="1:6" x14ac:dyDescent="0.2">
      <c r="A1519">
        <v>47828127</v>
      </c>
      <c r="B1519">
        <v>2012</v>
      </c>
      <c r="C1519">
        <v>55.625</v>
      </c>
      <c r="D1519" t="s">
        <v>571</v>
      </c>
      <c r="E1519" t="s">
        <v>123</v>
      </c>
      <c r="F1519" t="s">
        <v>1126</v>
      </c>
    </row>
    <row r="1520" spans="1:6" x14ac:dyDescent="0.2">
      <c r="A1520">
        <v>47828127</v>
      </c>
      <c r="B1520">
        <v>2011</v>
      </c>
      <c r="C1520">
        <v>36</v>
      </c>
      <c r="D1520" t="s">
        <v>571</v>
      </c>
      <c r="E1520" t="s">
        <v>123</v>
      </c>
      <c r="F1520" t="s">
        <v>1126</v>
      </c>
    </row>
    <row r="1521" spans="1:6" x14ac:dyDescent="0.2">
      <c r="A1521">
        <v>47828127</v>
      </c>
      <c r="B1521">
        <v>2010</v>
      </c>
      <c r="C1521">
        <v>54.996666666666698</v>
      </c>
      <c r="D1521" t="s">
        <v>571</v>
      </c>
      <c r="E1521" t="s">
        <v>123</v>
      </c>
      <c r="F1521" t="s">
        <v>1126</v>
      </c>
    </row>
    <row r="1522" spans="1:6" x14ac:dyDescent="0.2">
      <c r="A1522">
        <v>17822440</v>
      </c>
      <c r="B1522">
        <v>2019</v>
      </c>
      <c r="C1522">
        <v>59.798999999999999</v>
      </c>
      <c r="D1522" t="s">
        <v>871</v>
      </c>
      <c r="E1522" t="s">
        <v>872</v>
      </c>
      <c r="F1522" t="s">
        <v>1126</v>
      </c>
    </row>
    <row r="1523" spans="1:6" x14ac:dyDescent="0.2">
      <c r="A1523">
        <v>17822440</v>
      </c>
      <c r="B1523">
        <v>2018</v>
      </c>
      <c r="C1523">
        <v>54.3333333333333</v>
      </c>
      <c r="D1523" t="s">
        <v>871</v>
      </c>
      <c r="E1523" t="s">
        <v>872</v>
      </c>
      <c r="F1523" t="s">
        <v>1126</v>
      </c>
    </row>
    <row r="1524" spans="1:6" x14ac:dyDescent="0.2">
      <c r="A1524">
        <v>17822440</v>
      </c>
      <c r="B1524">
        <v>2017</v>
      </c>
      <c r="C1524">
        <v>52.998571428571402</v>
      </c>
      <c r="D1524" t="s">
        <v>871</v>
      </c>
      <c r="E1524" t="s">
        <v>872</v>
      </c>
      <c r="F1524" t="s">
        <v>1126</v>
      </c>
    </row>
    <row r="1525" spans="1:6" x14ac:dyDescent="0.2">
      <c r="A1525">
        <v>17822440</v>
      </c>
      <c r="B1525">
        <v>2016</v>
      </c>
      <c r="C1525">
        <v>63.6</v>
      </c>
      <c r="D1525" t="s">
        <v>871</v>
      </c>
      <c r="E1525" t="s">
        <v>872</v>
      </c>
      <c r="F1525" t="s">
        <v>1126</v>
      </c>
    </row>
    <row r="1526" spans="1:6" x14ac:dyDescent="0.2">
      <c r="A1526">
        <v>17822440</v>
      </c>
      <c r="B1526">
        <v>2014</v>
      </c>
      <c r="C1526">
        <v>66.6666666666667</v>
      </c>
      <c r="D1526" t="s">
        <v>871</v>
      </c>
      <c r="E1526" t="s">
        <v>872</v>
      </c>
      <c r="F1526" t="s">
        <v>1126</v>
      </c>
    </row>
    <row r="1527" spans="1:6" x14ac:dyDescent="0.2">
      <c r="A1527">
        <v>81619709</v>
      </c>
      <c r="B1527">
        <v>2020</v>
      </c>
      <c r="C1527">
        <v>10.066575453635499</v>
      </c>
      <c r="D1527" t="s">
        <v>166</v>
      </c>
      <c r="E1527" t="s">
        <v>167</v>
      </c>
      <c r="F1527" t="s">
        <v>137</v>
      </c>
    </row>
    <row r="1528" spans="1:6" x14ac:dyDescent="0.2">
      <c r="A1528">
        <v>81619709</v>
      </c>
      <c r="B1528">
        <v>2019</v>
      </c>
      <c r="C1528">
        <v>10.5221373428544</v>
      </c>
      <c r="D1528" t="s">
        <v>166</v>
      </c>
      <c r="E1528" t="s">
        <v>167</v>
      </c>
      <c r="F1528" t="s">
        <v>137</v>
      </c>
    </row>
    <row r="1529" spans="1:6" x14ac:dyDescent="0.2">
      <c r="A1529">
        <v>81619709</v>
      </c>
      <c r="B1529">
        <v>2018</v>
      </c>
      <c r="C1529">
        <v>11.6704778246974</v>
      </c>
      <c r="D1529" t="s">
        <v>166</v>
      </c>
      <c r="E1529" t="s">
        <v>167</v>
      </c>
      <c r="F1529" t="s">
        <v>137</v>
      </c>
    </row>
    <row r="1530" spans="1:6" x14ac:dyDescent="0.2">
      <c r="A1530">
        <v>81619709</v>
      </c>
      <c r="B1530">
        <v>2017</v>
      </c>
      <c r="C1530">
        <v>12.4380360334688</v>
      </c>
      <c r="D1530" t="s">
        <v>166</v>
      </c>
      <c r="E1530" t="s">
        <v>167</v>
      </c>
      <c r="F1530" t="s">
        <v>137</v>
      </c>
    </row>
    <row r="1531" spans="1:6" x14ac:dyDescent="0.2">
      <c r="A1531">
        <v>81619709</v>
      </c>
      <c r="B1531">
        <v>2016</v>
      </c>
      <c r="C1531">
        <v>11.668544800457999</v>
      </c>
      <c r="D1531" t="s">
        <v>166</v>
      </c>
      <c r="E1531" t="s">
        <v>167</v>
      </c>
      <c r="F1531" t="s">
        <v>137</v>
      </c>
    </row>
    <row r="1532" spans="1:6" x14ac:dyDescent="0.2">
      <c r="A1532">
        <v>81619709</v>
      </c>
      <c r="B1532">
        <v>2015</v>
      </c>
      <c r="C1532">
        <v>12.805962923868901</v>
      </c>
      <c r="D1532" t="s">
        <v>166</v>
      </c>
      <c r="E1532" t="s">
        <v>167</v>
      </c>
      <c r="F1532" t="s">
        <v>137</v>
      </c>
    </row>
    <row r="1533" spans="1:6" x14ac:dyDescent="0.2">
      <c r="A1533">
        <v>81619709</v>
      </c>
      <c r="B1533">
        <v>2014</v>
      </c>
      <c r="C1533">
        <v>14.0933013316406</v>
      </c>
      <c r="D1533" t="s">
        <v>166</v>
      </c>
      <c r="E1533" t="s">
        <v>167</v>
      </c>
      <c r="F1533" t="s">
        <v>137</v>
      </c>
    </row>
    <row r="1534" spans="1:6" x14ac:dyDescent="0.2">
      <c r="A1534">
        <v>81619709</v>
      </c>
      <c r="B1534">
        <v>2013</v>
      </c>
      <c r="C1534">
        <v>16.631064998474201</v>
      </c>
      <c r="D1534" t="s">
        <v>166</v>
      </c>
      <c r="E1534" t="s">
        <v>167</v>
      </c>
      <c r="F1534" t="s">
        <v>137</v>
      </c>
    </row>
    <row r="1535" spans="1:6" x14ac:dyDescent="0.2">
      <c r="A1535">
        <v>81619709</v>
      </c>
      <c r="B1535">
        <v>2012</v>
      </c>
      <c r="C1535">
        <v>17.855026078710299</v>
      </c>
      <c r="D1535" t="s">
        <v>166</v>
      </c>
      <c r="E1535" t="s">
        <v>167</v>
      </c>
      <c r="F1535" t="s">
        <v>137</v>
      </c>
    </row>
    <row r="1536" spans="1:6" x14ac:dyDescent="0.2">
      <c r="A1536">
        <v>81619709</v>
      </c>
      <c r="B1536">
        <v>2011</v>
      </c>
      <c r="C1536">
        <v>21.204033214709401</v>
      </c>
      <c r="D1536" t="s">
        <v>166</v>
      </c>
      <c r="E1536" t="s">
        <v>167</v>
      </c>
      <c r="F1536" t="s">
        <v>137</v>
      </c>
    </row>
    <row r="1537" spans="1:6" x14ac:dyDescent="0.2">
      <c r="A1537">
        <v>81619709</v>
      </c>
      <c r="B1537">
        <v>2010</v>
      </c>
      <c r="C1537">
        <v>23.727351164797199</v>
      </c>
      <c r="D1537" t="s">
        <v>166</v>
      </c>
      <c r="E1537" t="s">
        <v>167</v>
      </c>
      <c r="F1537" t="s">
        <v>137</v>
      </c>
    </row>
    <row r="1538" spans="1:6" x14ac:dyDescent="0.2">
      <c r="A1538">
        <v>78798288</v>
      </c>
      <c r="B1538">
        <v>2020</v>
      </c>
      <c r="C1538">
        <v>67.631818181818204</v>
      </c>
      <c r="D1538" t="s">
        <v>473</v>
      </c>
      <c r="E1538" t="s">
        <v>474</v>
      </c>
      <c r="F1538" t="s">
        <v>1126</v>
      </c>
    </row>
    <row r="1539" spans="1:6" x14ac:dyDescent="0.2">
      <c r="A1539">
        <v>78798288</v>
      </c>
      <c r="B1539">
        <v>2019</v>
      </c>
      <c r="C1539">
        <v>57.727272727272698</v>
      </c>
      <c r="D1539" t="s">
        <v>473</v>
      </c>
      <c r="E1539" t="s">
        <v>474</v>
      </c>
      <c r="F1539" t="s">
        <v>1126</v>
      </c>
    </row>
    <row r="1540" spans="1:6" x14ac:dyDescent="0.2">
      <c r="A1540">
        <v>78798288</v>
      </c>
      <c r="B1540">
        <v>2018</v>
      </c>
      <c r="C1540">
        <v>56.188095238095201</v>
      </c>
      <c r="D1540" t="s">
        <v>473</v>
      </c>
      <c r="E1540" t="s">
        <v>474</v>
      </c>
      <c r="F1540" t="s">
        <v>1126</v>
      </c>
    </row>
    <row r="1541" spans="1:6" x14ac:dyDescent="0.2">
      <c r="A1541">
        <v>78798288</v>
      </c>
      <c r="B1541">
        <v>2017</v>
      </c>
      <c r="C1541">
        <v>57.866</v>
      </c>
      <c r="D1541" t="s">
        <v>473</v>
      </c>
      <c r="E1541" t="s">
        <v>474</v>
      </c>
      <c r="F1541" t="s">
        <v>1126</v>
      </c>
    </row>
    <row r="1542" spans="1:6" x14ac:dyDescent="0.2">
      <c r="A1542">
        <v>78798288</v>
      </c>
      <c r="B1542">
        <v>2016</v>
      </c>
      <c r="C1542">
        <v>55.4375</v>
      </c>
      <c r="D1542" t="s">
        <v>473</v>
      </c>
      <c r="E1542" t="s">
        <v>474</v>
      </c>
      <c r="F1542" t="s">
        <v>1126</v>
      </c>
    </row>
    <row r="1543" spans="1:6" x14ac:dyDescent="0.2">
      <c r="A1543">
        <v>78798288</v>
      </c>
      <c r="B1543">
        <v>2015</v>
      </c>
      <c r="C1543">
        <v>46.6666666666667</v>
      </c>
      <c r="D1543" t="s">
        <v>473</v>
      </c>
      <c r="E1543" t="s">
        <v>474</v>
      </c>
      <c r="F1543" t="s">
        <v>1126</v>
      </c>
    </row>
    <row r="1544" spans="1:6" x14ac:dyDescent="0.2">
      <c r="A1544">
        <v>78798288</v>
      </c>
      <c r="B1544">
        <v>2014</v>
      </c>
      <c r="C1544">
        <v>41.6666666666667</v>
      </c>
      <c r="D1544" t="s">
        <v>473</v>
      </c>
      <c r="E1544" t="s">
        <v>474</v>
      </c>
      <c r="F1544" t="s">
        <v>1126</v>
      </c>
    </row>
    <row r="1545" spans="1:6" x14ac:dyDescent="0.2">
      <c r="A1545">
        <v>78798288</v>
      </c>
      <c r="B1545">
        <v>2013</v>
      </c>
      <c r="C1545">
        <v>28.5</v>
      </c>
      <c r="D1545" t="s">
        <v>473</v>
      </c>
      <c r="E1545" t="s">
        <v>474</v>
      </c>
      <c r="F1545" t="s">
        <v>1126</v>
      </c>
    </row>
    <row r="1546" spans="1:6" x14ac:dyDescent="0.2">
      <c r="A1546">
        <v>78798288</v>
      </c>
      <c r="B1546">
        <v>2012</v>
      </c>
      <c r="C1546">
        <v>47.5</v>
      </c>
      <c r="D1546" t="s">
        <v>473</v>
      </c>
      <c r="E1546" t="s">
        <v>474</v>
      </c>
      <c r="F1546" t="s">
        <v>1126</v>
      </c>
    </row>
    <row r="1547" spans="1:6" x14ac:dyDescent="0.2">
      <c r="A1547">
        <v>78798288</v>
      </c>
      <c r="B1547">
        <v>2011</v>
      </c>
      <c r="C1547">
        <v>40</v>
      </c>
      <c r="D1547" t="s">
        <v>473</v>
      </c>
      <c r="E1547" t="s">
        <v>474</v>
      </c>
      <c r="F1547" t="s">
        <v>1126</v>
      </c>
    </row>
    <row r="1548" spans="1:6" x14ac:dyDescent="0.2">
      <c r="A1548">
        <v>78798288</v>
      </c>
      <c r="B1548">
        <v>2010</v>
      </c>
      <c r="C1548">
        <v>33.316666666666698</v>
      </c>
      <c r="D1548" t="s">
        <v>473</v>
      </c>
      <c r="E1548" t="s">
        <v>474</v>
      </c>
      <c r="F1548" t="s">
        <v>1126</v>
      </c>
    </row>
    <row r="1549" spans="1:6" x14ac:dyDescent="0.2">
      <c r="A1549">
        <v>39828796</v>
      </c>
      <c r="B1549">
        <v>2020</v>
      </c>
      <c r="C1549">
        <v>15.180913997782399</v>
      </c>
      <c r="D1549" t="s">
        <v>863</v>
      </c>
      <c r="E1549" t="s">
        <v>864</v>
      </c>
      <c r="F1549" t="s">
        <v>137</v>
      </c>
    </row>
    <row r="1550" spans="1:6" x14ac:dyDescent="0.2">
      <c r="A1550">
        <v>39828796</v>
      </c>
      <c r="B1550">
        <v>2019</v>
      </c>
      <c r="C1550">
        <v>7.1141848222100501</v>
      </c>
      <c r="D1550" t="s">
        <v>863</v>
      </c>
      <c r="E1550" t="s">
        <v>864</v>
      </c>
      <c r="F1550" t="s">
        <v>137</v>
      </c>
    </row>
    <row r="1551" spans="1:6" x14ac:dyDescent="0.2">
      <c r="A1551">
        <v>39828796</v>
      </c>
      <c r="B1551">
        <v>2018</v>
      </c>
      <c r="C1551">
        <v>13.21651775572</v>
      </c>
      <c r="D1551" t="s">
        <v>863</v>
      </c>
      <c r="E1551" t="s">
        <v>864</v>
      </c>
      <c r="F1551" t="s">
        <v>137</v>
      </c>
    </row>
    <row r="1552" spans="1:6" x14ac:dyDescent="0.2">
      <c r="A1552">
        <v>39828796</v>
      </c>
      <c r="B1552">
        <v>2017</v>
      </c>
      <c r="C1552">
        <v>25.108588172560701</v>
      </c>
      <c r="D1552" t="s">
        <v>863</v>
      </c>
      <c r="E1552" t="s">
        <v>864</v>
      </c>
      <c r="F1552" t="s">
        <v>137</v>
      </c>
    </row>
    <row r="1553" spans="1:6" x14ac:dyDescent="0.2">
      <c r="A1553">
        <v>39828796</v>
      </c>
      <c r="B1553">
        <v>2016</v>
      </c>
      <c r="C1553">
        <v>13.619898599367501</v>
      </c>
      <c r="D1553" t="s">
        <v>863</v>
      </c>
      <c r="E1553" t="s">
        <v>864</v>
      </c>
      <c r="F1553" t="s">
        <v>137</v>
      </c>
    </row>
    <row r="1554" spans="1:6" x14ac:dyDescent="0.2">
      <c r="A1554">
        <v>39828796</v>
      </c>
      <c r="B1554">
        <v>2015</v>
      </c>
      <c r="C1554">
        <v>20.100163945471301</v>
      </c>
      <c r="D1554" t="s">
        <v>863</v>
      </c>
      <c r="E1554" t="s">
        <v>864</v>
      </c>
      <c r="F1554" t="s">
        <v>137</v>
      </c>
    </row>
    <row r="1555" spans="1:6" x14ac:dyDescent="0.2">
      <c r="A1555">
        <v>39828796</v>
      </c>
      <c r="B1555">
        <v>2014</v>
      </c>
      <c r="C1555">
        <v>28.305920246591</v>
      </c>
      <c r="D1555" t="s">
        <v>863</v>
      </c>
      <c r="E1555" t="s">
        <v>864</v>
      </c>
      <c r="F1555" t="s">
        <v>137</v>
      </c>
    </row>
    <row r="1556" spans="1:6" x14ac:dyDescent="0.2">
      <c r="A1556">
        <v>27912454</v>
      </c>
      <c r="B1556">
        <v>2019</v>
      </c>
      <c r="C1556">
        <v>36.798450827195602</v>
      </c>
      <c r="D1556" t="s">
        <v>221</v>
      </c>
      <c r="E1556" t="s">
        <v>222</v>
      </c>
      <c r="F1556" t="s">
        <v>223</v>
      </c>
    </row>
    <row r="1557" spans="1:6" x14ac:dyDescent="0.2">
      <c r="A1557">
        <v>27912454</v>
      </c>
      <c r="B1557">
        <v>2017</v>
      </c>
      <c r="C1557">
        <v>28.414688759516299</v>
      </c>
      <c r="D1557" t="s">
        <v>221</v>
      </c>
      <c r="E1557" t="s">
        <v>222</v>
      </c>
      <c r="F1557" t="s">
        <v>223</v>
      </c>
    </row>
    <row r="1558" spans="1:6" x14ac:dyDescent="0.2">
      <c r="A1558">
        <v>43727045</v>
      </c>
      <c r="B1558">
        <v>2019</v>
      </c>
      <c r="C1558">
        <v>66.197999999999993</v>
      </c>
      <c r="D1558" t="s">
        <v>1068</v>
      </c>
      <c r="E1558" t="s">
        <v>736</v>
      </c>
      <c r="F1558" t="s">
        <v>1126</v>
      </c>
    </row>
    <row r="1559" spans="1:6" x14ac:dyDescent="0.2">
      <c r="A1559">
        <v>43727045</v>
      </c>
      <c r="B1559">
        <v>2018</v>
      </c>
      <c r="C1559">
        <v>62.3333333333333</v>
      </c>
      <c r="D1559" t="s">
        <v>1068</v>
      </c>
      <c r="E1559" t="s">
        <v>736</v>
      </c>
      <c r="F1559" t="s">
        <v>1126</v>
      </c>
    </row>
    <row r="1560" spans="1:6" x14ac:dyDescent="0.2">
      <c r="A1560">
        <v>47758072</v>
      </c>
      <c r="B1560">
        <v>2018</v>
      </c>
      <c r="C1560">
        <v>38.6380144127751</v>
      </c>
      <c r="D1560" t="s">
        <v>1003</v>
      </c>
      <c r="E1560" t="s">
        <v>18</v>
      </c>
      <c r="F1560" t="s">
        <v>19</v>
      </c>
    </row>
    <row r="1561" spans="1:6" x14ac:dyDescent="0.2">
      <c r="A1561">
        <v>22512937</v>
      </c>
      <c r="B1561">
        <v>2020</v>
      </c>
      <c r="C1561">
        <v>7.5533169021814297</v>
      </c>
      <c r="D1561" t="s">
        <v>482</v>
      </c>
      <c r="E1561" t="s">
        <v>483</v>
      </c>
      <c r="F1561" t="s">
        <v>94</v>
      </c>
    </row>
    <row r="1562" spans="1:6" x14ac:dyDescent="0.2">
      <c r="A1562">
        <v>22512937</v>
      </c>
      <c r="B1562">
        <v>2019</v>
      </c>
      <c r="C1562">
        <v>7.7318879093891502</v>
      </c>
      <c r="D1562" t="s">
        <v>482</v>
      </c>
      <c r="E1562" t="s">
        <v>483</v>
      </c>
      <c r="F1562" t="s">
        <v>94</v>
      </c>
    </row>
    <row r="1563" spans="1:6" x14ac:dyDescent="0.2">
      <c r="A1563">
        <v>22512937</v>
      </c>
      <c r="B1563">
        <v>2018</v>
      </c>
      <c r="C1563">
        <v>8.77306836263298</v>
      </c>
      <c r="D1563" t="s">
        <v>482</v>
      </c>
      <c r="E1563" t="s">
        <v>483</v>
      </c>
      <c r="F1563" t="s">
        <v>94</v>
      </c>
    </row>
    <row r="1564" spans="1:6" x14ac:dyDescent="0.2">
      <c r="A1564">
        <v>28317516</v>
      </c>
      <c r="B1564">
        <v>2020</v>
      </c>
      <c r="C1564">
        <v>70.9957142857143</v>
      </c>
      <c r="D1564" t="s">
        <v>816</v>
      </c>
      <c r="E1564" t="s">
        <v>5</v>
      </c>
      <c r="F1564" t="s">
        <v>1126</v>
      </c>
    </row>
    <row r="1565" spans="1:6" x14ac:dyDescent="0.2">
      <c r="A1565">
        <v>28317516</v>
      </c>
      <c r="B1565">
        <v>2019</v>
      </c>
      <c r="C1565">
        <v>65</v>
      </c>
      <c r="D1565" t="s">
        <v>816</v>
      </c>
      <c r="E1565" t="s">
        <v>5</v>
      </c>
      <c r="F1565" t="s">
        <v>1126</v>
      </c>
    </row>
    <row r="1566" spans="1:6" x14ac:dyDescent="0.2">
      <c r="A1566">
        <v>28317516</v>
      </c>
      <c r="B1566">
        <v>2018</v>
      </c>
      <c r="C1566">
        <v>66.25</v>
      </c>
      <c r="D1566" t="s">
        <v>816</v>
      </c>
      <c r="E1566" t="s">
        <v>5</v>
      </c>
      <c r="F1566" t="s">
        <v>1126</v>
      </c>
    </row>
    <row r="1567" spans="1:6" x14ac:dyDescent="0.2">
      <c r="A1567">
        <v>28317516</v>
      </c>
      <c r="B1567">
        <v>2017</v>
      </c>
      <c r="C1567">
        <v>66.125</v>
      </c>
      <c r="D1567" t="s">
        <v>816</v>
      </c>
      <c r="E1567" t="s">
        <v>5</v>
      </c>
      <c r="F1567" t="s">
        <v>1126</v>
      </c>
    </row>
    <row r="1568" spans="1:6" x14ac:dyDescent="0.2">
      <c r="A1568">
        <v>28317516</v>
      </c>
      <c r="B1568">
        <v>2016</v>
      </c>
      <c r="C1568">
        <v>55.875</v>
      </c>
      <c r="D1568" t="s">
        <v>816</v>
      </c>
      <c r="E1568" t="s">
        <v>5</v>
      </c>
      <c r="F1568" t="s">
        <v>1126</v>
      </c>
    </row>
    <row r="1569" spans="1:6" x14ac:dyDescent="0.2">
      <c r="A1569">
        <v>28317516</v>
      </c>
      <c r="B1569">
        <v>2015</v>
      </c>
      <c r="C1569">
        <v>47.142857142857103</v>
      </c>
      <c r="D1569" t="s">
        <v>816</v>
      </c>
      <c r="E1569" t="s">
        <v>5</v>
      </c>
      <c r="F1569" t="s">
        <v>1126</v>
      </c>
    </row>
    <row r="1570" spans="1:6" x14ac:dyDescent="0.2">
      <c r="A1570">
        <v>77360426</v>
      </c>
      <c r="B1570">
        <v>2018</v>
      </c>
      <c r="C1570">
        <v>22.888256955992901</v>
      </c>
      <c r="D1570" t="s">
        <v>761</v>
      </c>
      <c r="E1570" t="s">
        <v>762</v>
      </c>
      <c r="F1570" t="s">
        <v>383</v>
      </c>
    </row>
    <row r="1571" spans="1:6" x14ac:dyDescent="0.2">
      <c r="A1571">
        <v>91541016</v>
      </c>
      <c r="B1571">
        <v>2020</v>
      </c>
      <c r="C1571">
        <v>20.612348835806898</v>
      </c>
      <c r="D1571" t="s">
        <v>168</v>
      </c>
      <c r="E1571" t="s">
        <v>169</v>
      </c>
      <c r="F1571" t="s">
        <v>170</v>
      </c>
    </row>
    <row r="1572" spans="1:6" x14ac:dyDescent="0.2">
      <c r="A1572">
        <v>91541016</v>
      </c>
      <c r="B1572">
        <v>2019</v>
      </c>
      <c r="C1572">
        <v>22.005361004175199</v>
      </c>
      <c r="D1572" t="s">
        <v>168</v>
      </c>
      <c r="E1572" t="s">
        <v>169</v>
      </c>
      <c r="F1572" t="s">
        <v>170</v>
      </c>
    </row>
    <row r="1573" spans="1:6" x14ac:dyDescent="0.2">
      <c r="A1573">
        <v>91541016</v>
      </c>
      <c r="B1573">
        <v>2018</v>
      </c>
      <c r="C1573">
        <v>24.417323156775701</v>
      </c>
      <c r="D1573" t="s">
        <v>168</v>
      </c>
      <c r="E1573" t="s">
        <v>169</v>
      </c>
      <c r="F1573" t="s">
        <v>170</v>
      </c>
    </row>
    <row r="1574" spans="1:6" x14ac:dyDescent="0.2">
      <c r="A1574">
        <v>91541016</v>
      </c>
      <c r="B1574">
        <v>2017</v>
      </c>
      <c r="C1574">
        <v>36.163121808485101</v>
      </c>
      <c r="D1574" t="s">
        <v>168</v>
      </c>
      <c r="E1574" t="s">
        <v>169</v>
      </c>
      <c r="F1574" t="s">
        <v>170</v>
      </c>
    </row>
    <row r="1575" spans="1:6" x14ac:dyDescent="0.2">
      <c r="A1575">
        <v>91541016</v>
      </c>
      <c r="B1575">
        <v>2016</v>
      </c>
      <c r="C1575">
        <v>39.005316606929497</v>
      </c>
      <c r="D1575" t="s">
        <v>168</v>
      </c>
      <c r="E1575" t="s">
        <v>169</v>
      </c>
      <c r="F1575" t="s">
        <v>170</v>
      </c>
    </row>
    <row r="1576" spans="1:6" x14ac:dyDescent="0.2">
      <c r="A1576">
        <v>91541016</v>
      </c>
      <c r="B1576">
        <v>2015</v>
      </c>
      <c r="C1576">
        <v>29.1995877705256</v>
      </c>
      <c r="D1576" t="s">
        <v>168</v>
      </c>
      <c r="E1576" t="s">
        <v>169</v>
      </c>
      <c r="F1576" t="s">
        <v>170</v>
      </c>
    </row>
    <row r="1577" spans="1:6" x14ac:dyDescent="0.2">
      <c r="A1577">
        <v>91541016</v>
      </c>
      <c r="B1577">
        <v>2014</v>
      </c>
      <c r="C1577">
        <v>31.897387344739698</v>
      </c>
      <c r="D1577" t="s">
        <v>168</v>
      </c>
      <c r="E1577" t="s">
        <v>169</v>
      </c>
      <c r="F1577" t="s">
        <v>170</v>
      </c>
    </row>
    <row r="1578" spans="1:6" x14ac:dyDescent="0.2">
      <c r="A1578">
        <v>91541016</v>
      </c>
      <c r="B1578">
        <v>2013</v>
      </c>
      <c r="C1578">
        <v>27.854111752939598</v>
      </c>
      <c r="D1578" t="s">
        <v>168</v>
      </c>
      <c r="E1578" t="s">
        <v>169</v>
      </c>
      <c r="F1578" t="s">
        <v>170</v>
      </c>
    </row>
    <row r="1579" spans="1:6" x14ac:dyDescent="0.2">
      <c r="A1579">
        <v>91541016</v>
      </c>
      <c r="B1579">
        <v>2012</v>
      </c>
      <c r="C1579">
        <v>31.030814750667499</v>
      </c>
      <c r="D1579" t="s">
        <v>168</v>
      </c>
      <c r="E1579" t="s">
        <v>169</v>
      </c>
      <c r="F1579" t="s">
        <v>170</v>
      </c>
    </row>
    <row r="1580" spans="1:6" x14ac:dyDescent="0.2">
      <c r="A1580">
        <v>91541016</v>
      </c>
      <c r="B1580">
        <v>2011</v>
      </c>
      <c r="C1580">
        <v>22.553599999999999</v>
      </c>
      <c r="D1580" t="s">
        <v>168</v>
      </c>
      <c r="E1580" t="s">
        <v>169</v>
      </c>
      <c r="F1580" t="s">
        <v>170</v>
      </c>
    </row>
    <row r="1581" spans="1:6" x14ac:dyDescent="0.2">
      <c r="A1581">
        <v>91541016</v>
      </c>
      <c r="B1581">
        <v>2010</v>
      </c>
      <c r="C1581">
        <v>17.1666666666667</v>
      </c>
      <c r="D1581" t="s">
        <v>168</v>
      </c>
      <c r="E1581" t="s">
        <v>169</v>
      </c>
      <c r="F1581" t="s">
        <v>170</v>
      </c>
    </row>
    <row r="1582" spans="1:6" x14ac:dyDescent="0.2">
      <c r="A1582">
        <v>32449979</v>
      </c>
      <c r="B1582">
        <v>2020</v>
      </c>
      <c r="C1582">
        <v>5.2706396574783696</v>
      </c>
      <c r="D1582" t="s">
        <v>945</v>
      </c>
      <c r="E1582" t="s">
        <v>946</v>
      </c>
      <c r="F1582" t="s">
        <v>268</v>
      </c>
    </row>
    <row r="1583" spans="1:6" x14ac:dyDescent="0.2">
      <c r="A1583">
        <v>32449979</v>
      </c>
      <c r="B1583">
        <v>2019</v>
      </c>
      <c r="C1583">
        <v>3.6578383765559099</v>
      </c>
      <c r="D1583" t="s">
        <v>945</v>
      </c>
      <c r="E1583" t="s">
        <v>946</v>
      </c>
      <c r="F1583" t="s">
        <v>268</v>
      </c>
    </row>
    <row r="1584" spans="1:6" x14ac:dyDescent="0.2">
      <c r="A1584">
        <v>78044023</v>
      </c>
      <c r="B1584">
        <v>2020</v>
      </c>
      <c r="C1584">
        <v>5.9585495920959399</v>
      </c>
      <c r="D1584" t="s">
        <v>452</v>
      </c>
      <c r="E1584" t="s">
        <v>453</v>
      </c>
      <c r="F1584" t="s">
        <v>94</v>
      </c>
    </row>
    <row r="1585" spans="1:6" x14ac:dyDescent="0.2">
      <c r="A1585">
        <v>78044023</v>
      </c>
      <c r="B1585">
        <v>2019</v>
      </c>
      <c r="C1585">
        <v>6.9109714153058501</v>
      </c>
      <c r="D1585" t="s">
        <v>452</v>
      </c>
      <c r="E1585" t="s">
        <v>453</v>
      </c>
      <c r="F1585" t="s">
        <v>94</v>
      </c>
    </row>
    <row r="1586" spans="1:6" x14ac:dyDescent="0.2">
      <c r="A1586">
        <v>78044023</v>
      </c>
      <c r="B1586">
        <v>2018</v>
      </c>
      <c r="C1586">
        <v>7.0951403496362504</v>
      </c>
      <c r="D1586" t="s">
        <v>452</v>
      </c>
      <c r="E1586" t="s">
        <v>453</v>
      </c>
      <c r="F1586" t="s">
        <v>94</v>
      </c>
    </row>
    <row r="1587" spans="1:6" x14ac:dyDescent="0.2">
      <c r="A1587">
        <v>59203850</v>
      </c>
      <c r="B1587">
        <v>2020</v>
      </c>
      <c r="C1587">
        <v>14.8357113059915</v>
      </c>
      <c r="D1587" t="s">
        <v>701</v>
      </c>
      <c r="E1587" t="s">
        <v>702</v>
      </c>
      <c r="F1587" t="s">
        <v>388</v>
      </c>
    </row>
    <row r="1588" spans="1:6" x14ac:dyDescent="0.2">
      <c r="A1588">
        <v>59203850</v>
      </c>
      <c r="B1588">
        <v>2019</v>
      </c>
      <c r="C1588">
        <v>14.364056269533</v>
      </c>
      <c r="D1588" t="s">
        <v>701</v>
      </c>
      <c r="E1588" t="s">
        <v>702</v>
      </c>
      <c r="F1588" t="s">
        <v>388</v>
      </c>
    </row>
    <row r="1589" spans="1:6" x14ac:dyDescent="0.2">
      <c r="A1589">
        <v>59203850</v>
      </c>
      <c r="B1589">
        <v>2018</v>
      </c>
      <c r="C1589">
        <v>17.4899287821417</v>
      </c>
      <c r="D1589" t="s">
        <v>701</v>
      </c>
      <c r="E1589" t="s">
        <v>702</v>
      </c>
      <c r="F1589" t="s">
        <v>388</v>
      </c>
    </row>
    <row r="1590" spans="1:6" x14ac:dyDescent="0.2">
      <c r="A1590">
        <v>59203850</v>
      </c>
      <c r="B1590">
        <v>2017</v>
      </c>
      <c r="C1590">
        <v>17.114514125942499</v>
      </c>
      <c r="D1590" t="s">
        <v>701</v>
      </c>
      <c r="E1590" t="s">
        <v>702</v>
      </c>
      <c r="F1590" t="s">
        <v>388</v>
      </c>
    </row>
    <row r="1591" spans="1:6" x14ac:dyDescent="0.2">
      <c r="A1591">
        <v>59203850</v>
      </c>
      <c r="B1591">
        <v>2016</v>
      </c>
      <c r="C1591">
        <v>18.732306690417399</v>
      </c>
      <c r="D1591" t="s">
        <v>701</v>
      </c>
      <c r="E1591" t="s">
        <v>702</v>
      </c>
      <c r="F1591" t="s">
        <v>388</v>
      </c>
    </row>
    <row r="1592" spans="1:6" x14ac:dyDescent="0.2">
      <c r="A1592">
        <v>59203850</v>
      </c>
      <c r="B1592">
        <v>2015</v>
      </c>
      <c r="C1592">
        <v>19.463184334766801</v>
      </c>
      <c r="D1592" t="s">
        <v>701</v>
      </c>
      <c r="E1592" t="s">
        <v>702</v>
      </c>
      <c r="F1592" t="s">
        <v>388</v>
      </c>
    </row>
    <row r="1593" spans="1:6" x14ac:dyDescent="0.2">
      <c r="A1593">
        <v>59203850</v>
      </c>
      <c r="B1593">
        <v>2014</v>
      </c>
      <c r="C1593">
        <v>25.870025870025898</v>
      </c>
      <c r="D1593" t="s">
        <v>701</v>
      </c>
      <c r="E1593" t="s">
        <v>702</v>
      </c>
      <c r="F1593" t="s">
        <v>388</v>
      </c>
    </row>
    <row r="1594" spans="1:6" x14ac:dyDescent="0.2">
      <c r="A1594">
        <v>59203850</v>
      </c>
      <c r="B1594">
        <v>2013</v>
      </c>
      <c r="C1594">
        <v>30.8862433862434</v>
      </c>
      <c r="D1594" t="s">
        <v>701</v>
      </c>
      <c r="E1594" t="s">
        <v>702</v>
      </c>
      <c r="F1594" t="s">
        <v>388</v>
      </c>
    </row>
    <row r="1595" spans="1:6" x14ac:dyDescent="0.2">
      <c r="A1595">
        <v>59203850</v>
      </c>
      <c r="B1595">
        <v>2012</v>
      </c>
      <c r="C1595">
        <v>31.827956989247301</v>
      </c>
      <c r="D1595" t="s">
        <v>701</v>
      </c>
      <c r="E1595" t="s">
        <v>702</v>
      </c>
      <c r="F1595" t="s">
        <v>388</v>
      </c>
    </row>
    <row r="1596" spans="1:6" x14ac:dyDescent="0.2">
      <c r="A1596">
        <v>75958256</v>
      </c>
      <c r="B1596">
        <v>2020</v>
      </c>
      <c r="C1596">
        <v>80</v>
      </c>
      <c r="D1596" t="s">
        <v>582</v>
      </c>
      <c r="E1596" t="s">
        <v>494</v>
      </c>
      <c r="F1596" t="s">
        <v>1126</v>
      </c>
    </row>
    <row r="1597" spans="1:6" x14ac:dyDescent="0.2">
      <c r="A1597">
        <v>75958256</v>
      </c>
      <c r="B1597">
        <v>2019</v>
      </c>
      <c r="C1597">
        <v>61.886111111111099</v>
      </c>
      <c r="D1597" t="s">
        <v>582</v>
      </c>
      <c r="E1597" t="s">
        <v>494</v>
      </c>
      <c r="F1597" t="s">
        <v>1126</v>
      </c>
    </row>
    <row r="1598" spans="1:6" x14ac:dyDescent="0.2">
      <c r="A1598">
        <v>75958256</v>
      </c>
      <c r="B1598">
        <v>2018</v>
      </c>
      <c r="C1598">
        <v>76.272727272727295</v>
      </c>
      <c r="D1598" t="s">
        <v>582</v>
      </c>
      <c r="E1598" t="s">
        <v>494</v>
      </c>
      <c r="F1598" t="s">
        <v>1126</v>
      </c>
    </row>
    <row r="1599" spans="1:6" x14ac:dyDescent="0.2">
      <c r="A1599">
        <v>75958256</v>
      </c>
      <c r="B1599">
        <v>2017</v>
      </c>
      <c r="C1599">
        <v>64.277222222222207</v>
      </c>
      <c r="D1599" t="s">
        <v>582</v>
      </c>
      <c r="E1599" t="s">
        <v>494</v>
      </c>
      <c r="F1599" t="s">
        <v>1126</v>
      </c>
    </row>
    <row r="1600" spans="1:6" x14ac:dyDescent="0.2">
      <c r="A1600">
        <v>75958256</v>
      </c>
      <c r="B1600">
        <v>2016</v>
      </c>
      <c r="C1600">
        <v>70.785714285714306</v>
      </c>
      <c r="D1600" t="s">
        <v>582</v>
      </c>
      <c r="E1600" t="s">
        <v>494</v>
      </c>
      <c r="F1600" t="s">
        <v>1126</v>
      </c>
    </row>
    <row r="1601" spans="1:6" x14ac:dyDescent="0.2">
      <c r="A1601">
        <v>75958256</v>
      </c>
      <c r="B1601">
        <v>2015</v>
      </c>
      <c r="C1601">
        <v>49.432222222222201</v>
      </c>
      <c r="D1601" t="s">
        <v>582</v>
      </c>
      <c r="E1601" t="s">
        <v>494</v>
      </c>
      <c r="F1601" t="s">
        <v>1126</v>
      </c>
    </row>
    <row r="1602" spans="1:6" x14ac:dyDescent="0.2">
      <c r="A1602">
        <v>75958256</v>
      </c>
      <c r="B1602">
        <v>2014</v>
      </c>
      <c r="C1602">
        <v>57.4</v>
      </c>
      <c r="D1602" t="s">
        <v>582</v>
      </c>
      <c r="E1602" t="s">
        <v>494</v>
      </c>
      <c r="F1602" t="s">
        <v>1126</v>
      </c>
    </row>
    <row r="1603" spans="1:6" x14ac:dyDescent="0.2">
      <c r="A1603">
        <v>75958256</v>
      </c>
      <c r="B1603">
        <v>2013</v>
      </c>
      <c r="C1603">
        <v>38</v>
      </c>
      <c r="D1603" t="s">
        <v>582</v>
      </c>
      <c r="E1603" t="s">
        <v>494</v>
      </c>
      <c r="F1603" t="s">
        <v>1126</v>
      </c>
    </row>
    <row r="1604" spans="1:6" x14ac:dyDescent="0.2">
      <c r="A1604">
        <v>57141802</v>
      </c>
      <c r="B1604">
        <v>2020</v>
      </c>
      <c r="C1604">
        <v>11.4103544835832</v>
      </c>
      <c r="D1604" t="s">
        <v>861</v>
      </c>
      <c r="E1604" t="s">
        <v>862</v>
      </c>
      <c r="F1604" t="s">
        <v>137</v>
      </c>
    </row>
    <row r="1605" spans="1:6" x14ac:dyDescent="0.2">
      <c r="A1605">
        <v>57141802</v>
      </c>
      <c r="B1605">
        <v>2019</v>
      </c>
      <c r="C1605">
        <v>11.812261533083699</v>
      </c>
      <c r="D1605" t="s">
        <v>861</v>
      </c>
      <c r="E1605" t="s">
        <v>862</v>
      </c>
      <c r="F1605" t="s">
        <v>137</v>
      </c>
    </row>
    <row r="1606" spans="1:6" x14ac:dyDescent="0.2">
      <c r="A1606">
        <v>57141802</v>
      </c>
      <c r="B1606">
        <v>2018</v>
      </c>
      <c r="C1606">
        <v>18.221698001615501</v>
      </c>
      <c r="D1606" t="s">
        <v>861</v>
      </c>
      <c r="E1606" t="s">
        <v>862</v>
      </c>
      <c r="F1606" t="s">
        <v>137</v>
      </c>
    </row>
    <row r="1607" spans="1:6" x14ac:dyDescent="0.2">
      <c r="A1607">
        <v>57141802</v>
      </c>
      <c r="B1607">
        <v>2017</v>
      </c>
      <c r="C1607">
        <v>25.470980166803901</v>
      </c>
      <c r="D1607" t="s">
        <v>861</v>
      </c>
      <c r="E1607" t="s">
        <v>862</v>
      </c>
      <c r="F1607" t="s">
        <v>137</v>
      </c>
    </row>
    <row r="1608" spans="1:6" x14ac:dyDescent="0.2">
      <c r="A1608">
        <v>57141802</v>
      </c>
      <c r="B1608">
        <v>2016</v>
      </c>
      <c r="C1608">
        <v>15.8969636799371</v>
      </c>
      <c r="D1608" t="s">
        <v>861</v>
      </c>
      <c r="E1608" t="s">
        <v>862</v>
      </c>
      <c r="F1608" t="s">
        <v>137</v>
      </c>
    </row>
    <row r="1609" spans="1:6" x14ac:dyDescent="0.2">
      <c r="A1609">
        <v>57141802</v>
      </c>
      <c r="B1609">
        <v>2015</v>
      </c>
      <c r="C1609">
        <v>23.004768642247001</v>
      </c>
      <c r="D1609" t="s">
        <v>861</v>
      </c>
      <c r="E1609" t="s">
        <v>862</v>
      </c>
      <c r="F1609" t="s">
        <v>137</v>
      </c>
    </row>
    <row r="1610" spans="1:6" x14ac:dyDescent="0.2">
      <c r="A1610">
        <v>57141802</v>
      </c>
      <c r="B1610">
        <v>2014</v>
      </c>
      <c r="C1610">
        <v>25.0669343477274</v>
      </c>
      <c r="D1610" t="s">
        <v>861</v>
      </c>
      <c r="E1610" t="s">
        <v>862</v>
      </c>
      <c r="F1610" t="s">
        <v>137</v>
      </c>
    </row>
    <row r="1611" spans="1:6" x14ac:dyDescent="0.2">
      <c r="A1611">
        <v>93332620</v>
      </c>
      <c r="B1611">
        <v>2020</v>
      </c>
      <c r="C1611">
        <v>30.335448908800199</v>
      </c>
      <c r="D1611" t="s">
        <v>384</v>
      </c>
      <c r="E1611"/>
      <c r="F1611" t="s">
        <v>385</v>
      </c>
    </row>
    <row r="1612" spans="1:6" x14ac:dyDescent="0.2">
      <c r="A1612">
        <v>93332620</v>
      </c>
      <c r="B1612">
        <v>2019</v>
      </c>
      <c r="C1612">
        <v>27.4796260213563</v>
      </c>
      <c r="D1612" t="s">
        <v>384</v>
      </c>
      <c r="E1612"/>
      <c r="F1612" t="s">
        <v>385</v>
      </c>
    </row>
    <row r="1613" spans="1:6" x14ac:dyDescent="0.2">
      <c r="A1613">
        <v>93332620</v>
      </c>
      <c r="B1613">
        <v>2018</v>
      </c>
      <c r="C1613">
        <v>29.6213104810749</v>
      </c>
      <c r="D1613" t="s">
        <v>384</v>
      </c>
      <c r="E1613"/>
      <c r="F1613" t="s">
        <v>385</v>
      </c>
    </row>
    <row r="1614" spans="1:6" x14ac:dyDescent="0.2">
      <c r="A1614">
        <v>93332620</v>
      </c>
      <c r="B1614">
        <v>2017</v>
      </c>
      <c r="C1614">
        <v>36.337909528813199</v>
      </c>
      <c r="D1614" t="s">
        <v>384</v>
      </c>
      <c r="E1614"/>
      <c r="F1614" t="s">
        <v>385</v>
      </c>
    </row>
    <row r="1615" spans="1:6" x14ac:dyDescent="0.2">
      <c r="A1615">
        <v>93332620</v>
      </c>
      <c r="B1615">
        <v>2016</v>
      </c>
      <c r="C1615">
        <v>25.745831400517702</v>
      </c>
      <c r="D1615" t="s">
        <v>384</v>
      </c>
      <c r="E1615"/>
      <c r="F1615" t="s">
        <v>385</v>
      </c>
    </row>
    <row r="1616" spans="1:6" x14ac:dyDescent="0.2">
      <c r="A1616">
        <v>93332620</v>
      </c>
      <c r="B1616">
        <v>2015</v>
      </c>
      <c r="C1616">
        <v>28.534127353661201</v>
      </c>
      <c r="D1616" t="s">
        <v>384</v>
      </c>
      <c r="E1616"/>
      <c r="F1616" t="s">
        <v>385</v>
      </c>
    </row>
    <row r="1617" spans="1:6" x14ac:dyDescent="0.2">
      <c r="A1617">
        <v>93332620</v>
      </c>
      <c r="B1617">
        <v>2014</v>
      </c>
      <c r="C1617">
        <v>34.473067445560297</v>
      </c>
      <c r="D1617" t="s">
        <v>384</v>
      </c>
      <c r="E1617"/>
      <c r="F1617" t="s">
        <v>385</v>
      </c>
    </row>
    <row r="1618" spans="1:6" x14ac:dyDescent="0.2">
      <c r="A1618">
        <v>93332620</v>
      </c>
      <c r="B1618">
        <v>2013</v>
      </c>
      <c r="C1618">
        <v>39.862219814589601</v>
      </c>
      <c r="D1618" t="s">
        <v>384</v>
      </c>
      <c r="E1618"/>
      <c r="F1618" t="s">
        <v>385</v>
      </c>
    </row>
    <row r="1619" spans="1:6" x14ac:dyDescent="0.2">
      <c r="A1619">
        <v>93332620</v>
      </c>
      <c r="B1619">
        <v>2012</v>
      </c>
      <c r="C1619">
        <v>44.221136178226402</v>
      </c>
      <c r="D1619" t="s">
        <v>384</v>
      </c>
      <c r="E1619"/>
      <c r="F1619" t="s">
        <v>385</v>
      </c>
    </row>
    <row r="1620" spans="1:6" x14ac:dyDescent="0.2">
      <c r="A1620">
        <v>93332620</v>
      </c>
      <c r="B1620">
        <v>2011</v>
      </c>
      <c r="C1620">
        <v>42.935458248194301</v>
      </c>
      <c r="D1620" t="s">
        <v>384</v>
      </c>
      <c r="E1620"/>
      <c r="F1620" t="s">
        <v>385</v>
      </c>
    </row>
    <row r="1621" spans="1:6" x14ac:dyDescent="0.2">
      <c r="A1621">
        <v>93332620</v>
      </c>
      <c r="B1621">
        <v>2010</v>
      </c>
      <c r="C1621">
        <v>24.555735056542801</v>
      </c>
      <c r="D1621" t="s">
        <v>384</v>
      </c>
      <c r="E1621"/>
      <c r="F1621" t="s">
        <v>385</v>
      </c>
    </row>
    <row r="1622" spans="1:6" x14ac:dyDescent="0.2">
      <c r="A1622">
        <v>44480380</v>
      </c>
      <c r="B1622">
        <v>2020</v>
      </c>
      <c r="C1622">
        <v>69.850915058255197</v>
      </c>
      <c r="D1622" t="s">
        <v>1056</v>
      </c>
      <c r="E1622" t="s">
        <v>460</v>
      </c>
      <c r="F1622" t="s">
        <v>393</v>
      </c>
    </row>
    <row r="1623" spans="1:6" x14ac:dyDescent="0.2">
      <c r="A1623">
        <v>44480380</v>
      </c>
      <c r="B1623">
        <v>2019</v>
      </c>
      <c r="C1623">
        <v>65.170525096936899</v>
      </c>
      <c r="D1623" t="s">
        <v>1056</v>
      </c>
      <c r="E1623" t="s">
        <v>460</v>
      </c>
      <c r="F1623" t="s">
        <v>393</v>
      </c>
    </row>
    <row r="1624" spans="1:6" x14ac:dyDescent="0.2">
      <c r="A1624">
        <v>44480380</v>
      </c>
      <c r="B1624">
        <v>2018</v>
      </c>
      <c r="C1624">
        <v>65.930603192301604</v>
      </c>
      <c r="D1624" t="s">
        <v>1056</v>
      </c>
      <c r="E1624" t="s">
        <v>460</v>
      </c>
      <c r="F1624" t="s">
        <v>393</v>
      </c>
    </row>
    <row r="1625" spans="1:6" x14ac:dyDescent="0.2">
      <c r="A1625">
        <v>44480380</v>
      </c>
      <c r="B1625">
        <v>2017</v>
      </c>
      <c r="C1625">
        <v>56.693816068357798</v>
      </c>
      <c r="D1625" t="s">
        <v>1056</v>
      </c>
      <c r="E1625" t="s">
        <v>460</v>
      </c>
      <c r="F1625" t="s">
        <v>393</v>
      </c>
    </row>
    <row r="1626" spans="1:6" x14ac:dyDescent="0.2">
      <c r="A1626">
        <v>44480380</v>
      </c>
      <c r="B1626">
        <v>2016</v>
      </c>
      <c r="C1626">
        <v>43.721754784869702</v>
      </c>
      <c r="D1626" t="s">
        <v>1056</v>
      </c>
      <c r="E1626" t="s">
        <v>460</v>
      </c>
      <c r="F1626" t="s">
        <v>393</v>
      </c>
    </row>
    <row r="1627" spans="1:6" x14ac:dyDescent="0.2">
      <c r="A1627">
        <v>44480380</v>
      </c>
      <c r="B1627">
        <v>2015</v>
      </c>
      <c r="C1627">
        <v>37.034909838301701</v>
      </c>
      <c r="D1627" t="s">
        <v>1056</v>
      </c>
      <c r="E1627" t="s">
        <v>460</v>
      </c>
      <c r="F1627" t="s">
        <v>393</v>
      </c>
    </row>
    <row r="1628" spans="1:6" x14ac:dyDescent="0.2">
      <c r="A1628">
        <v>44480380</v>
      </c>
      <c r="B1628">
        <v>2014</v>
      </c>
      <c r="C1628">
        <v>53.475777398559003</v>
      </c>
      <c r="D1628" t="s">
        <v>1056</v>
      </c>
      <c r="E1628" t="s">
        <v>460</v>
      </c>
      <c r="F1628" t="s">
        <v>393</v>
      </c>
    </row>
    <row r="1629" spans="1:6" x14ac:dyDescent="0.2">
      <c r="A1629">
        <v>44480380</v>
      </c>
      <c r="B1629">
        <v>2013</v>
      </c>
      <c r="C1629">
        <v>56</v>
      </c>
      <c r="D1629" t="s">
        <v>1056</v>
      </c>
      <c r="E1629" t="s">
        <v>460</v>
      </c>
      <c r="F1629" t="s">
        <v>393</v>
      </c>
    </row>
    <row r="1630" spans="1:6" x14ac:dyDescent="0.2">
      <c r="A1630">
        <v>44480380</v>
      </c>
      <c r="B1630">
        <v>2012</v>
      </c>
      <c r="C1630">
        <v>36.003839999999997</v>
      </c>
      <c r="D1630" t="s">
        <v>1056</v>
      </c>
      <c r="E1630" t="s">
        <v>460</v>
      </c>
      <c r="F1630" t="s">
        <v>393</v>
      </c>
    </row>
    <row r="1631" spans="1:6" x14ac:dyDescent="0.2">
      <c r="A1631">
        <v>72896292</v>
      </c>
      <c r="B1631">
        <v>2020</v>
      </c>
      <c r="C1631">
        <v>59.1666666666667</v>
      </c>
      <c r="D1631" t="s">
        <v>643</v>
      </c>
      <c r="E1631" t="s">
        <v>644</v>
      </c>
      <c r="F1631" t="s">
        <v>1126</v>
      </c>
    </row>
    <row r="1632" spans="1:6" x14ac:dyDescent="0.2">
      <c r="A1632">
        <v>72896292</v>
      </c>
      <c r="B1632">
        <v>2019</v>
      </c>
      <c r="C1632">
        <v>69.5</v>
      </c>
      <c r="D1632" t="s">
        <v>643</v>
      </c>
      <c r="E1632" t="s">
        <v>644</v>
      </c>
      <c r="F1632" t="s">
        <v>1126</v>
      </c>
    </row>
    <row r="1633" spans="1:6" x14ac:dyDescent="0.2">
      <c r="A1633">
        <v>72896292</v>
      </c>
      <c r="B1633">
        <v>2018</v>
      </c>
      <c r="C1633">
        <v>66.11</v>
      </c>
      <c r="D1633" t="s">
        <v>643</v>
      </c>
      <c r="E1633" t="s">
        <v>644</v>
      </c>
      <c r="F1633" t="s">
        <v>1126</v>
      </c>
    </row>
    <row r="1634" spans="1:6" x14ac:dyDescent="0.2">
      <c r="A1634">
        <v>72896292</v>
      </c>
      <c r="B1634">
        <v>2017</v>
      </c>
      <c r="C1634">
        <v>52.2</v>
      </c>
      <c r="D1634" t="s">
        <v>643</v>
      </c>
      <c r="E1634" t="s">
        <v>644</v>
      </c>
      <c r="F1634" t="s">
        <v>1126</v>
      </c>
    </row>
    <row r="1635" spans="1:6" x14ac:dyDescent="0.2">
      <c r="A1635">
        <v>72896292</v>
      </c>
      <c r="B1635">
        <v>2016</v>
      </c>
      <c r="C1635">
        <v>56</v>
      </c>
      <c r="D1635" t="s">
        <v>643</v>
      </c>
      <c r="E1635" t="s">
        <v>644</v>
      </c>
      <c r="F1635" t="s">
        <v>1126</v>
      </c>
    </row>
    <row r="1636" spans="1:6" x14ac:dyDescent="0.2">
      <c r="A1636">
        <v>72896292</v>
      </c>
      <c r="B1636">
        <v>2015</v>
      </c>
      <c r="C1636">
        <v>49</v>
      </c>
      <c r="D1636" t="s">
        <v>643</v>
      </c>
      <c r="E1636" t="s">
        <v>644</v>
      </c>
      <c r="F1636" t="s">
        <v>1126</v>
      </c>
    </row>
    <row r="1637" spans="1:6" x14ac:dyDescent="0.2">
      <c r="A1637">
        <v>11818334</v>
      </c>
      <c r="B1637">
        <v>2020</v>
      </c>
      <c r="C1637">
        <v>24.555292236530299</v>
      </c>
      <c r="D1637" t="s">
        <v>142</v>
      </c>
      <c r="E1637" t="s">
        <v>143</v>
      </c>
      <c r="F1637" t="s">
        <v>144</v>
      </c>
    </row>
    <row r="1638" spans="1:6" x14ac:dyDescent="0.2">
      <c r="A1638">
        <v>11818334</v>
      </c>
      <c r="B1638">
        <v>2019</v>
      </c>
      <c r="C1638">
        <v>26.7975243375116</v>
      </c>
      <c r="D1638" t="s">
        <v>142</v>
      </c>
      <c r="E1638" t="s">
        <v>143</v>
      </c>
      <c r="F1638" t="s">
        <v>144</v>
      </c>
    </row>
    <row r="1639" spans="1:6" x14ac:dyDescent="0.2">
      <c r="A1639">
        <v>11818334</v>
      </c>
      <c r="B1639">
        <v>2018</v>
      </c>
      <c r="C1639">
        <v>25.2147765806438</v>
      </c>
      <c r="D1639" t="s">
        <v>142</v>
      </c>
      <c r="E1639" t="s">
        <v>143</v>
      </c>
      <c r="F1639" t="s">
        <v>144</v>
      </c>
    </row>
    <row r="1640" spans="1:6" x14ac:dyDescent="0.2">
      <c r="A1640">
        <v>11818334</v>
      </c>
      <c r="B1640">
        <v>2017</v>
      </c>
      <c r="C1640">
        <v>25.236244123972401</v>
      </c>
      <c r="D1640" t="s">
        <v>142</v>
      </c>
      <c r="E1640" t="s">
        <v>143</v>
      </c>
      <c r="F1640" t="s">
        <v>144</v>
      </c>
    </row>
    <row r="1641" spans="1:6" x14ac:dyDescent="0.2">
      <c r="A1641">
        <v>11818334</v>
      </c>
      <c r="B1641">
        <v>2016</v>
      </c>
      <c r="C1641">
        <v>20.768231794321501</v>
      </c>
      <c r="D1641" t="s">
        <v>142</v>
      </c>
      <c r="E1641" t="s">
        <v>143</v>
      </c>
      <c r="F1641" t="s">
        <v>144</v>
      </c>
    </row>
    <row r="1642" spans="1:6" x14ac:dyDescent="0.2">
      <c r="A1642">
        <v>11818334</v>
      </c>
      <c r="B1642">
        <v>2015</v>
      </c>
      <c r="C1642">
        <v>21.635298066248399</v>
      </c>
      <c r="D1642" t="s">
        <v>142</v>
      </c>
      <c r="E1642" t="s">
        <v>143</v>
      </c>
      <c r="F1642" t="s">
        <v>144</v>
      </c>
    </row>
    <row r="1643" spans="1:6" x14ac:dyDescent="0.2">
      <c r="A1643">
        <v>11818334</v>
      </c>
      <c r="B1643">
        <v>2014</v>
      </c>
      <c r="C1643">
        <v>26.654394139868501</v>
      </c>
      <c r="D1643" t="s">
        <v>142</v>
      </c>
      <c r="E1643" t="s">
        <v>143</v>
      </c>
      <c r="F1643" t="s">
        <v>144</v>
      </c>
    </row>
    <row r="1644" spans="1:6" x14ac:dyDescent="0.2">
      <c r="A1644">
        <v>11818334</v>
      </c>
      <c r="B1644">
        <v>2012</v>
      </c>
      <c r="C1644">
        <v>20.769230769230798</v>
      </c>
      <c r="D1644" t="s">
        <v>142</v>
      </c>
      <c r="E1644" t="s">
        <v>143</v>
      </c>
      <c r="F1644" t="s">
        <v>144</v>
      </c>
    </row>
    <row r="1645" spans="1:6" x14ac:dyDescent="0.2">
      <c r="A1645">
        <v>11818334</v>
      </c>
      <c r="B1645">
        <v>2011</v>
      </c>
      <c r="C1645">
        <v>43.859649122806999</v>
      </c>
      <c r="D1645" t="s">
        <v>142</v>
      </c>
      <c r="E1645" t="s">
        <v>143</v>
      </c>
      <c r="F1645" t="s">
        <v>144</v>
      </c>
    </row>
    <row r="1646" spans="1:6" x14ac:dyDescent="0.2">
      <c r="A1646">
        <v>82533799</v>
      </c>
      <c r="B1646">
        <v>2020</v>
      </c>
      <c r="C1646">
        <v>16.846134198891399</v>
      </c>
      <c r="D1646" t="s">
        <v>969</v>
      </c>
      <c r="E1646" t="s">
        <v>970</v>
      </c>
      <c r="F1646" t="s">
        <v>35</v>
      </c>
    </row>
    <row r="1647" spans="1:6" x14ac:dyDescent="0.2">
      <c r="A1647">
        <v>82533799</v>
      </c>
      <c r="B1647">
        <v>2019</v>
      </c>
      <c r="C1647">
        <v>28.0297625114667</v>
      </c>
      <c r="D1647" t="s">
        <v>969</v>
      </c>
      <c r="E1647" t="s">
        <v>970</v>
      </c>
      <c r="F1647" t="s">
        <v>35</v>
      </c>
    </row>
    <row r="1648" spans="1:6" x14ac:dyDescent="0.2">
      <c r="A1648">
        <v>61748556</v>
      </c>
      <c r="B1648">
        <v>2020</v>
      </c>
      <c r="C1648">
        <v>54.414399738904301</v>
      </c>
      <c r="D1648" t="s">
        <v>675</v>
      </c>
      <c r="E1648" t="s">
        <v>427</v>
      </c>
      <c r="F1648" t="s">
        <v>428</v>
      </c>
    </row>
    <row r="1649" spans="1:6" x14ac:dyDescent="0.2">
      <c r="A1649">
        <v>61748556</v>
      </c>
      <c r="B1649">
        <v>2019</v>
      </c>
      <c r="C1649">
        <v>64.670296762568299</v>
      </c>
      <c r="D1649" t="s">
        <v>675</v>
      </c>
      <c r="E1649" t="s">
        <v>427</v>
      </c>
      <c r="F1649" t="s">
        <v>428</v>
      </c>
    </row>
    <row r="1650" spans="1:6" x14ac:dyDescent="0.2">
      <c r="A1650">
        <v>61748556</v>
      </c>
      <c r="B1650">
        <v>2018</v>
      </c>
      <c r="C1650">
        <v>74.933752333774706</v>
      </c>
      <c r="D1650" t="s">
        <v>675</v>
      </c>
      <c r="E1650" t="s">
        <v>427</v>
      </c>
      <c r="F1650" t="s">
        <v>428</v>
      </c>
    </row>
    <row r="1651" spans="1:6" x14ac:dyDescent="0.2">
      <c r="A1651">
        <v>61748556</v>
      </c>
      <c r="B1651">
        <v>2017</v>
      </c>
      <c r="C1651">
        <v>67.499858525654801</v>
      </c>
      <c r="D1651" t="s">
        <v>675</v>
      </c>
      <c r="E1651" t="s">
        <v>427</v>
      </c>
      <c r="F1651" t="s">
        <v>428</v>
      </c>
    </row>
    <row r="1652" spans="1:6" x14ac:dyDescent="0.2">
      <c r="A1652">
        <v>61748556</v>
      </c>
      <c r="B1652">
        <v>2016</v>
      </c>
      <c r="C1652">
        <v>57.103095399822301</v>
      </c>
      <c r="D1652" t="s">
        <v>675</v>
      </c>
      <c r="E1652" t="s">
        <v>427</v>
      </c>
      <c r="F1652" t="s">
        <v>428</v>
      </c>
    </row>
    <row r="1653" spans="1:6" x14ac:dyDescent="0.2">
      <c r="A1653">
        <v>61748556</v>
      </c>
      <c r="B1653">
        <v>2015</v>
      </c>
      <c r="C1653">
        <v>63.019118334257101</v>
      </c>
      <c r="D1653" t="s">
        <v>675</v>
      </c>
      <c r="E1653" t="s">
        <v>427</v>
      </c>
      <c r="F1653" t="s">
        <v>428</v>
      </c>
    </row>
    <row r="1654" spans="1:6" x14ac:dyDescent="0.2">
      <c r="A1654">
        <v>61748556</v>
      </c>
      <c r="B1654">
        <v>2014</v>
      </c>
      <c r="C1654">
        <v>65.022878225682803</v>
      </c>
      <c r="D1654" t="s">
        <v>675</v>
      </c>
      <c r="E1654" t="s">
        <v>427</v>
      </c>
      <c r="F1654" t="s">
        <v>428</v>
      </c>
    </row>
    <row r="1655" spans="1:6" x14ac:dyDescent="0.2">
      <c r="A1655">
        <v>61748556</v>
      </c>
      <c r="B1655">
        <v>2013</v>
      </c>
      <c r="C1655">
        <v>85.685884691848898</v>
      </c>
      <c r="D1655" t="s">
        <v>675</v>
      </c>
      <c r="E1655" t="s">
        <v>427</v>
      </c>
      <c r="F1655" t="s">
        <v>428</v>
      </c>
    </row>
    <row r="1656" spans="1:6" x14ac:dyDescent="0.2">
      <c r="A1656">
        <v>61748556</v>
      </c>
      <c r="B1656">
        <v>2012</v>
      </c>
      <c r="C1656">
        <v>62.191176470588204</v>
      </c>
      <c r="D1656" t="s">
        <v>675</v>
      </c>
      <c r="E1656" t="s">
        <v>427</v>
      </c>
      <c r="F1656" t="s">
        <v>428</v>
      </c>
    </row>
    <row r="1657" spans="1:6" x14ac:dyDescent="0.2">
      <c r="A1657">
        <v>61748556</v>
      </c>
      <c r="B1657">
        <v>2011</v>
      </c>
      <c r="C1657">
        <v>84.289915966386602</v>
      </c>
      <c r="D1657" t="s">
        <v>675</v>
      </c>
      <c r="E1657" t="s">
        <v>427</v>
      </c>
      <c r="F1657" t="s">
        <v>428</v>
      </c>
    </row>
    <row r="1658" spans="1:6" x14ac:dyDescent="0.2">
      <c r="A1658">
        <v>81979880</v>
      </c>
      <c r="B1658">
        <v>2018</v>
      </c>
      <c r="C1658">
        <v>47.9895033944101</v>
      </c>
      <c r="D1658" t="s">
        <v>1041</v>
      </c>
      <c r="E1658" t="s">
        <v>1042</v>
      </c>
      <c r="F1658" t="s">
        <v>263</v>
      </c>
    </row>
    <row r="1659" spans="1:6" x14ac:dyDescent="0.2">
      <c r="A1659">
        <v>81979880</v>
      </c>
      <c r="B1659">
        <v>2014</v>
      </c>
      <c r="C1659">
        <v>36.959035348529902</v>
      </c>
      <c r="D1659" t="s">
        <v>1041</v>
      </c>
      <c r="E1659" t="s">
        <v>1042</v>
      </c>
      <c r="F1659" t="s">
        <v>263</v>
      </c>
    </row>
    <row r="1660" spans="1:6" x14ac:dyDescent="0.2">
      <c r="A1660">
        <v>81979880</v>
      </c>
      <c r="B1660">
        <v>2012</v>
      </c>
      <c r="C1660">
        <v>38.7840670859539</v>
      </c>
      <c r="D1660" t="s">
        <v>1041</v>
      </c>
      <c r="E1660" t="s">
        <v>1042</v>
      </c>
      <c r="F1660" t="s">
        <v>263</v>
      </c>
    </row>
    <row r="1661" spans="1:6" x14ac:dyDescent="0.2">
      <c r="A1661">
        <v>81979880</v>
      </c>
      <c r="B1661">
        <v>2011</v>
      </c>
      <c r="C1661">
        <v>19.3333333333333</v>
      </c>
      <c r="D1661" t="s">
        <v>1041</v>
      </c>
      <c r="E1661" t="s">
        <v>1042</v>
      </c>
      <c r="F1661" t="s">
        <v>263</v>
      </c>
    </row>
    <row r="1662" spans="1:6" x14ac:dyDescent="0.2">
      <c r="A1662">
        <v>87723558</v>
      </c>
      <c r="B1662">
        <v>2020</v>
      </c>
      <c r="C1662">
        <v>22.892550966041298</v>
      </c>
      <c r="D1662" t="s">
        <v>951</v>
      </c>
      <c r="E1662" t="s">
        <v>929</v>
      </c>
      <c r="F1662" t="s">
        <v>35</v>
      </c>
    </row>
    <row r="1663" spans="1:6" x14ac:dyDescent="0.2">
      <c r="A1663">
        <v>87723558</v>
      </c>
      <c r="B1663">
        <v>2019</v>
      </c>
      <c r="C1663">
        <v>30.804709000101901</v>
      </c>
      <c r="D1663" t="s">
        <v>951</v>
      </c>
      <c r="E1663" t="s">
        <v>929</v>
      </c>
      <c r="F1663" t="s">
        <v>35</v>
      </c>
    </row>
    <row r="1664" spans="1:6" x14ac:dyDescent="0.2">
      <c r="A1664">
        <v>87723558</v>
      </c>
      <c r="B1664">
        <v>2018</v>
      </c>
      <c r="C1664">
        <v>40.196236414746402</v>
      </c>
      <c r="D1664" t="s">
        <v>951</v>
      </c>
      <c r="E1664" t="s">
        <v>929</v>
      </c>
      <c r="F1664" t="s">
        <v>35</v>
      </c>
    </row>
    <row r="1665" spans="1:6" x14ac:dyDescent="0.2">
      <c r="A1665">
        <v>86416528</v>
      </c>
      <c r="B1665">
        <v>2019</v>
      </c>
      <c r="C1665">
        <v>52.158321335253</v>
      </c>
      <c r="D1665" t="s">
        <v>1118</v>
      </c>
      <c r="E1665" t="s">
        <v>1119</v>
      </c>
      <c r="F1665" t="s">
        <v>393</v>
      </c>
    </row>
    <row r="1666" spans="1:6" x14ac:dyDescent="0.2">
      <c r="A1666">
        <v>86416528</v>
      </c>
      <c r="B1666">
        <v>2018</v>
      </c>
      <c r="C1666">
        <v>65.769008576634207</v>
      </c>
      <c r="D1666" t="s">
        <v>1118</v>
      </c>
      <c r="E1666" t="s">
        <v>1119</v>
      </c>
      <c r="F1666" t="s">
        <v>393</v>
      </c>
    </row>
    <row r="1667" spans="1:6" x14ac:dyDescent="0.2">
      <c r="A1667">
        <v>86416528</v>
      </c>
      <c r="B1667">
        <v>2016</v>
      </c>
      <c r="C1667">
        <v>46.662933631976102</v>
      </c>
      <c r="D1667" t="s">
        <v>1118</v>
      </c>
      <c r="E1667" t="s">
        <v>1119</v>
      </c>
      <c r="F1667" t="s">
        <v>393</v>
      </c>
    </row>
    <row r="1668" spans="1:6" x14ac:dyDescent="0.2">
      <c r="A1668">
        <v>13328763</v>
      </c>
      <c r="B1668">
        <v>2020</v>
      </c>
      <c r="C1668">
        <v>61.873750000000001</v>
      </c>
      <c r="D1668" t="s">
        <v>968</v>
      </c>
      <c r="E1668" t="s">
        <v>557</v>
      </c>
      <c r="F1668" t="s">
        <v>1126</v>
      </c>
    </row>
    <row r="1669" spans="1:6" x14ac:dyDescent="0.2">
      <c r="A1669">
        <v>13328763</v>
      </c>
      <c r="B1669">
        <v>2019</v>
      </c>
      <c r="C1669">
        <v>61</v>
      </c>
      <c r="D1669" t="s">
        <v>968</v>
      </c>
      <c r="E1669" t="s">
        <v>557</v>
      </c>
      <c r="F1669" t="s">
        <v>1126</v>
      </c>
    </row>
    <row r="1670" spans="1:6" x14ac:dyDescent="0.2">
      <c r="A1670">
        <v>13328763</v>
      </c>
      <c r="B1670">
        <v>2018</v>
      </c>
      <c r="C1670">
        <v>41.125</v>
      </c>
      <c r="D1670" t="s">
        <v>968</v>
      </c>
      <c r="E1670" t="s">
        <v>557</v>
      </c>
      <c r="F1670" t="s">
        <v>1126</v>
      </c>
    </row>
    <row r="1671" spans="1:6" x14ac:dyDescent="0.2">
      <c r="A1671">
        <v>19360960</v>
      </c>
      <c r="B1671">
        <v>2020</v>
      </c>
      <c r="C1671">
        <v>6.2008829487122803</v>
      </c>
      <c r="D1671" t="s">
        <v>252</v>
      </c>
      <c r="E1671" t="s">
        <v>253</v>
      </c>
      <c r="F1671" t="s">
        <v>94</v>
      </c>
    </row>
    <row r="1672" spans="1:6" x14ac:dyDescent="0.2">
      <c r="A1672">
        <v>19360960</v>
      </c>
      <c r="B1672">
        <v>2019</v>
      </c>
      <c r="C1672">
        <v>7.3669113559321397</v>
      </c>
      <c r="D1672" t="s">
        <v>252</v>
      </c>
      <c r="E1672" t="s">
        <v>253</v>
      </c>
      <c r="F1672" t="s">
        <v>94</v>
      </c>
    </row>
    <row r="1673" spans="1:6" x14ac:dyDescent="0.2">
      <c r="A1673">
        <v>19360960</v>
      </c>
      <c r="B1673">
        <v>2018</v>
      </c>
      <c r="C1673">
        <v>7.3521282007560798</v>
      </c>
      <c r="D1673" t="s">
        <v>252</v>
      </c>
      <c r="E1673" t="s">
        <v>253</v>
      </c>
      <c r="F1673" t="s">
        <v>94</v>
      </c>
    </row>
    <row r="1674" spans="1:6" x14ac:dyDescent="0.2">
      <c r="A1674">
        <v>19360960</v>
      </c>
      <c r="B1674">
        <v>2017</v>
      </c>
      <c r="C1674">
        <v>8.0156766596270703</v>
      </c>
      <c r="D1674" t="s">
        <v>252</v>
      </c>
      <c r="E1674" t="s">
        <v>253</v>
      </c>
      <c r="F1674" t="s">
        <v>94</v>
      </c>
    </row>
    <row r="1675" spans="1:6" x14ac:dyDescent="0.2">
      <c r="A1675">
        <v>19360960</v>
      </c>
      <c r="B1675">
        <v>2016</v>
      </c>
      <c r="C1675">
        <v>5.9943100164920402</v>
      </c>
      <c r="D1675" t="s">
        <v>252</v>
      </c>
      <c r="E1675" t="s">
        <v>253</v>
      </c>
      <c r="F1675" t="s">
        <v>94</v>
      </c>
    </row>
    <row r="1676" spans="1:6" x14ac:dyDescent="0.2">
      <c r="A1676">
        <v>85420678</v>
      </c>
      <c r="B1676">
        <v>2020</v>
      </c>
      <c r="C1676">
        <v>61.797283541962898</v>
      </c>
      <c r="D1676" t="s">
        <v>1061</v>
      </c>
      <c r="E1676" t="s">
        <v>298</v>
      </c>
      <c r="F1676" t="s">
        <v>33</v>
      </c>
    </row>
    <row r="1677" spans="1:6" x14ac:dyDescent="0.2">
      <c r="A1677">
        <v>85420678</v>
      </c>
      <c r="B1677">
        <v>2019</v>
      </c>
      <c r="C1677">
        <v>60.606194987867703</v>
      </c>
      <c r="D1677" t="s">
        <v>1061</v>
      </c>
      <c r="E1677" t="s">
        <v>298</v>
      </c>
      <c r="F1677" t="s">
        <v>33</v>
      </c>
    </row>
    <row r="1678" spans="1:6" x14ac:dyDescent="0.2">
      <c r="A1678">
        <v>85420678</v>
      </c>
      <c r="B1678">
        <v>2018</v>
      </c>
      <c r="C1678">
        <v>59.576773392951303</v>
      </c>
      <c r="D1678" t="s">
        <v>1061</v>
      </c>
      <c r="E1678" t="s">
        <v>298</v>
      </c>
      <c r="F1678" t="s">
        <v>33</v>
      </c>
    </row>
    <row r="1679" spans="1:6" x14ac:dyDescent="0.2">
      <c r="A1679">
        <v>98237700</v>
      </c>
      <c r="B1679">
        <v>2020</v>
      </c>
      <c r="C1679">
        <v>69.0640247516843</v>
      </c>
      <c r="D1679" t="s">
        <v>419</v>
      </c>
      <c r="E1679"/>
      <c r="F1679" t="s">
        <v>420</v>
      </c>
    </row>
    <row r="1680" spans="1:6" x14ac:dyDescent="0.2">
      <c r="A1680">
        <v>98237700</v>
      </c>
      <c r="B1680">
        <v>2018</v>
      </c>
      <c r="C1680">
        <v>80.844721054695796</v>
      </c>
      <c r="D1680" t="s">
        <v>419</v>
      </c>
      <c r="E1680"/>
      <c r="F1680" t="s">
        <v>420</v>
      </c>
    </row>
    <row r="1681" spans="1:6" x14ac:dyDescent="0.2">
      <c r="A1681">
        <v>98237700</v>
      </c>
      <c r="B1681">
        <v>2016</v>
      </c>
      <c r="C1681">
        <v>81.967213114754102</v>
      </c>
      <c r="D1681" t="s">
        <v>419</v>
      </c>
      <c r="E1681"/>
      <c r="F1681" t="s">
        <v>420</v>
      </c>
    </row>
    <row r="1682" spans="1:6" x14ac:dyDescent="0.2">
      <c r="A1682">
        <v>67623994</v>
      </c>
      <c r="B1682">
        <v>2020</v>
      </c>
      <c r="C1682">
        <v>62.5833333333333</v>
      </c>
      <c r="D1682" t="s">
        <v>757</v>
      </c>
      <c r="E1682" t="s">
        <v>758</v>
      </c>
      <c r="F1682" t="s">
        <v>1126</v>
      </c>
    </row>
    <row r="1683" spans="1:6" x14ac:dyDescent="0.2">
      <c r="A1683">
        <v>67623994</v>
      </c>
      <c r="B1683">
        <v>2019</v>
      </c>
      <c r="C1683">
        <v>65.454545454545496</v>
      </c>
      <c r="D1683" t="s">
        <v>757</v>
      </c>
      <c r="E1683" t="s">
        <v>758</v>
      </c>
      <c r="F1683" t="s">
        <v>1126</v>
      </c>
    </row>
    <row r="1684" spans="1:6" x14ac:dyDescent="0.2">
      <c r="A1684">
        <v>67623994</v>
      </c>
      <c r="B1684">
        <v>2018</v>
      </c>
      <c r="C1684">
        <v>56.411764705882398</v>
      </c>
      <c r="D1684" t="s">
        <v>757</v>
      </c>
      <c r="E1684" t="s">
        <v>758</v>
      </c>
      <c r="F1684" t="s">
        <v>1126</v>
      </c>
    </row>
    <row r="1685" spans="1:6" x14ac:dyDescent="0.2">
      <c r="A1685">
        <v>67623994</v>
      </c>
      <c r="B1685">
        <v>2017</v>
      </c>
      <c r="C1685">
        <v>58.246875000000003</v>
      </c>
      <c r="D1685" t="s">
        <v>757</v>
      </c>
      <c r="E1685" t="s">
        <v>758</v>
      </c>
      <c r="F1685" t="s">
        <v>1126</v>
      </c>
    </row>
    <row r="1686" spans="1:6" x14ac:dyDescent="0.2">
      <c r="A1686">
        <v>67623994</v>
      </c>
      <c r="B1686">
        <v>2016</v>
      </c>
      <c r="C1686">
        <v>49.598500000000001</v>
      </c>
      <c r="D1686" t="s">
        <v>757</v>
      </c>
      <c r="E1686" t="s">
        <v>758</v>
      </c>
      <c r="F1686" t="s">
        <v>1126</v>
      </c>
    </row>
    <row r="1687" spans="1:6" x14ac:dyDescent="0.2">
      <c r="A1687">
        <v>67623994</v>
      </c>
      <c r="B1687">
        <v>2015</v>
      </c>
      <c r="C1687">
        <v>45.332500000000003</v>
      </c>
      <c r="D1687" t="s">
        <v>757</v>
      </c>
      <c r="E1687" t="s">
        <v>758</v>
      </c>
      <c r="F1687" t="s">
        <v>1126</v>
      </c>
    </row>
    <row r="1688" spans="1:6" x14ac:dyDescent="0.2">
      <c r="A1688">
        <v>67623994</v>
      </c>
      <c r="B1688">
        <v>2014</v>
      </c>
      <c r="C1688">
        <v>36</v>
      </c>
      <c r="D1688" t="s">
        <v>757</v>
      </c>
      <c r="E1688" t="s">
        <v>758</v>
      </c>
      <c r="F1688" t="s">
        <v>1126</v>
      </c>
    </row>
    <row r="1689" spans="1:6" x14ac:dyDescent="0.2">
      <c r="A1689">
        <v>67623994</v>
      </c>
      <c r="B1689">
        <v>2013</v>
      </c>
      <c r="C1689">
        <v>43.75</v>
      </c>
      <c r="D1689" t="s">
        <v>757</v>
      </c>
      <c r="E1689" t="s">
        <v>758</v>
      </c>
      <c r="F1689" t="s">
        <v>1126</v>
      </c>
    </row>
    <row r="1690" spans="1:6" x14ac:dyDescent="0.2">
      <c r="A1690">
        <v>67623994</v>
      </c>
      <c r="B1690">
        <v>2012</v>
      </c>
      <c r="C1690">
        <v>43.3333333333333</v>
      </c>
      <c r="D1690" t="s">
        <v>757</v>
      </c>
      <c r="E1690" t="s">
        <v>758</v>
      </c>
      <c r="F1690" t="s">
        <v>1126</v>
      </c>
    </row>
    <row r="1691" spans="1:6" x14ac:dyDescent="0.2">
      <c r="A1691">
        <v>67623994</v>
      </c>
      <c r="B1691">
        <v>2011</v>
      </c>
      <c r="C1691">
        <v>45</v>
      </c>
      <c r="D1691" t="s">
        <v>757</v>
      </c>
      <c r="E1691" t="s">
        <v>758</v>
      </c>
      <c r="F1691" t="s">
        <v>1126</v>
      </c>
    </row>
    <row r="1692" spans="1:6" x14ac:dyDescent="0.2">
      <c r="A1692">
        <v>67623994</v>
      </c>
      <c r="B1692">
        <v>2010</v>
      </c>
      <c r="C1692">
        <v>38.3333333333333</v>
      </c>
      <c r="D1692" t="s">
        <v>757</v>
      </c>
      <c r="E1692" t="s">
        <v>758</v>
      </c>
      <c r="F1692" t="s">
        <v>1126</v>
      </c>
    </row>
    <row r="1693" spans="1:6" x14ac:dyDescent="0.2">
      <c r="A1693">
        <v>32710828</v>
      </c>
      <c r="B1693">
        <v>2020</v>
      </c>
      <c r="C1693">
        <v>21.013379565653</v>
      </c>
      <c r="D1693" t="s">
        <v>495</v>
      </c>
      <c r="E1693" t="s">
        <v>496</v>
      </c>
      <c r="F1693" t="s">
        <v>170</v>
      </c>
    </row>
    <row r="1694" spans="1:6" x14ac:dyDescent="0.2">
      <c r="A1694">
        <v>32710828</v>
      </c>
      <c r="B1694">
        <v>2019</v>
      </c>
      <c r="C1694">
        <v>17.4525188824522</v>
      </c>
      <c r="D1694" t="s">
        <v>495</v>
      </c>
      <c r="E1694" t="s">
        <v>496</v>
      </c>
      <c r="F1694" t="s">
        <v>170</v>
      </c>
    </row>
    <row r="1695" spans="1:6" x14ac:dyDescent="0.2">
      <c r="A1695">
        <v>32710828</v>
      </c>
      <c r="B1695">
        <v>2018</v>
      </c>
      <c r="C1695">
        <v>22.817502483626701</v>
      </c>
      <c r="D1695" t="s">
        <v>495</v>
      </c>
      <c r="E1695" t="s">
        <v>496</v>
      </c>
      <c r="F1695" t="s">
        <v>170</v>
      </c>
    </row>
    <row r="1696" spans="1:6" x14ac:dyDescent="0.2">
      <c r="A1696">
        <v>32710828</v>
      </c>
      <c r="B1696">
        <v>2017</v>
      </c>
      <c r="C1696">
        <v>29.127866597503399</v>
      </c>
      <c r="D1696" t="s">
        <v>495</v>
      </c>
      <c r="E1696" t="s">
        <v>496</v>
      </c>
      <c r="F1696" t="s">
        <v>170</v>
      </c>
    </row>
    <row r="1697" spans="1:6" x14ac:dyDescent="0.2">
      <c r="A1697">
        <v>32710828</v>
      </c>
      <c r="B1697">
        <v>2016</v>
      </c>
      <c r="C1697">
        <v>31.342094782955002</v>
      </c>
      <c r="D1697" t="s">
        <v>495</v>
      </c>
      <c r="E1697" t="s">
        <v>496</v>
      </c>
      <c r="F1697" t="s">
        <v>170</v>
      </c>
    </row>
    <row r="1698" spans="1:6" x14ac:dyDescent="0.2">
      <c r="A1698">
        <v>32710828</v>
      </c>
      <c r="B1698">
        <v>2015</v>
      </c>
      <c r="C1698">
        <v>28.822161442699802</v>
      </c>
      <c r="D1698" t="s">
        <v>495</v>
      </c>
      <c r="E1698" t="s">
        <v>496</v>
      </c>
      <c r="F1698" t="s">
        <v>170</v>
      </c>
    </row>
    <row r="1699" spans="1:6" x14ac:dyDescent="0.2">
      <c r="A1699">
        <v>32710828</v>
      </c>
      <c r="B1699">
        <v>2014</v>
      </c>
      <c r="C1699">
        <v>22.283086494894199</v>
      </c>
      <c r="D1699" t="s">
        <v>495</v>
      </c>
      <c r="E1699" t="s">
        <v>496</v>
      </c>
      <c r="F1699" t="s">
        <v>170</v>
      </c>
    </row>
    <row r="1700" spans="1:6" x14ac:dyDescent="0.2">
      <c r="A1700">
        <v>32710828</v>
      </c>
      <c r="B1700">
        <v>2013</v>
      </c>
      <c r="C1700">
        <v>26.438706265973401</v>
      </c>
      <c r="D1700" t="s">
        <v>495</v>
      </c>
      <c r="E1700" t="s">
        <v>496</v>
      </c>
      <c r="F1700" t="s">
        <v>170</v>
      </c>
    </row>
    <row r="1701" spans="1:6" x14ac:dyDescent="0.2">
      <c r="A1701">
        <v>32710828</v>
      </c>
      <c r="B1701">
        <v>2012</v>
      </c>
      <c r="C1701">
        <v>31.0373457458324</v>
      </c>
      <c r="D1701" t="s">
        <v>495</v>
      </c>
      <c r="E1701" t="s">
        <v>496</v>
      </c>
      <c r="F1701" t="s">
        <v>170</v>
      </c>
    </row>
    <row r="1702" spans="1:6" x14ac:dyDescent="0.2">
      <c r="A1702">
        <v>32710828</v>
      </c>
      <c r="B1702">
        <v>2011</v>
      </c>
      <c r="C1702">
        <v>20</v>
      </c>
      <c r="D1702" t="s">
        <v>495</v>
      </c>
      <c r="E1702" t="s">
        <v>496</v>
      </c>
      <c r="F1702" t="s">
        <v>170</v>
      </c>
    </row>
    <row r="1703" spans="1:6" x14ac:dyDescent="0.2">
      <c r="A1703">
        <v>66008419</v>
      </c>
      <c r="B1703">
        <v>2020</v>
      </c>
      <c r="C1703">
        <v>37.600979567680902</v>
      </c>
      <c r="D1703" t="s">
        <v>133</v>
      </c>
      <c r="E1703" t="s">
        <v>132</v>
      </c>
      <c r="F1703" t="s">
        <v>7</v>
      </c>
    </row>
    <row r="1704" spans="1:6" x14ac:dyDescent="0.2">
      <c r="A1704">
        <v>66008419</v>
      </c>
      <c r="B1704">
        <v>2019</v>
      </c>
      <c r="C1704">
        <v>31.0058429783519</v>
      </c>
      <c r="D1704" t="s">
        <v>133</v>
      </c>
      <c r="E1704" t="s">
        <v>132</v>
      </c>
      <c r="F1704" t="s">
        <v>7</v>
      </c>
    </row>
    <row r="1705" spans="1:6" x14ac:dyDescent="0.2">
      <c r="A1705">
        <v>66008419</v>
      </c>
      <c r="B1705">
        <v>2018</v>
      </c>
      <c r="C1705">
        <v>34.126149973399798</v>
      </c>
      <c r="D1705" t="s">
        <v>133</v>
      </c>
      <c r="E1705" t="s">
        <v>132</v>
      </c>
      <c r="F1705" t="s">
        <v>7</v>
      </c>
    </row>
    <row r="1706" spans="1:6" x14ac:dyDescent="0.2">
      <c r="A1706">
        <v>66008419</v>
      </c>
      <c r="B1706">
        <v>2016</v>
      </c>
      <c r="C1706">
        <v>29.5152684754229</v>
      </c>
      <c r="D1706" t="s">
        <v>133</v>
      </c>
      <c r="E1706" t="s">
        <v>132</v>
      </c>
      <c r="F1706" t="s">
        <v>7</v>
      </c>
    </row>
    <row r="1707" spans="1:6" x14ac:dyDescent="0.2">
      <c r="A1707">
        <v>10668835</v>
      </c>
      <c r="B1707">
        <v>2020</v>
      </c>
      <c r="C1707">
        <v>17.346450161201101</v>
      </c>
      <c r="D1707" t="s">
        <v>337</v>
      </c>
      <c r="E1707" t="s">
        <v>338</v>
      </c>
      <c r="F1707" t="s">
        <v>339</v>
      </c>
    </row>
    <row r="1708" spans="1:6" x14ac:dyDescent="0.2">
      <c r="A1708">
        <v>10668835</v>
      </c>
      <c r="B1708">
        <v>2019</v>
      </c>
      <c r="C1708">
        <v>18.360811692830602</v>
      </c>
      <c r="D1708" t="s">
        <v>337</v>
      </c>
      <c r="E1708" t="s">
        <v>338</v>
      </c>
      <c r="F1708" t="s">
        <v>339</v>
      </c>
    </row>
    <row r="1709" spans="1:6" x14ac:dyDescent="0.2">
      <c r="A1709">
        <v>10668835</v>
      </c>
      <c r="B1709">
        <v>2018</v>
      </c>
      <c r="C1709">
        <v>18.4993635637931</v>
      </c>
      <c r="D1709" t="s">
        <v>337</v>
      </c>
      <c r="E1709" t="s">
        <v>338</v>
      </c>
      <c r="F1709" t="s">
        <v>339</v>
      </c>
    </row>
    <row r="1710" spans="1:6" x14ac:dyDescent="0.2">
      <c r="A1710">
        <v>10668835</v>
      </c>
      <c r="B1710">
        <v>2017</v>
      </c>
      <c r="C1710">
        <v>19.6326532011519</v>
      </c>
      <c r="D1710" t="s">
        <v>337</v>
      </c>
      <c r="E1710" t="s">
        <v>338</v>
      </c>
      <c r="F1710" t="s">
        <v>339</v>
      </c>
    </row>
    <row r="1711" spans="1:6" x14ac:dyDescent="0.2">
      <c r="A1711">
        <v>10668835</v>
      </c>
      <c r="B1711">
        <v>2016</v>
      </c>
      <c r="C1711">
        <v>22.808862140971499</v>
      </c>
      <c r="D1711" t="s">
        <v>337</v>
      </c>
      <c r="E1711" t="s">
        <v>338</v>
      </c>
      <c r="F1711" t="s">
        <v>339</v>
      </c>
    </row>
    <row r="1712" spans="1:6" x14ac:dyDescent="0.2">
      <c r="A1712">
        <v>10668835</v>
      </c>
      <c r="B1712">
        <v>2015</v>
      </c>
      <c r="C1712">
        <v>53.359096168056404</v>
      </c>
      <c r="D1712" t="s">
        <v>337</v>
      </c>
      <c r="E1712" t="s">
        <v>338</v>
      </c>
      <c r="F1712" t="s">
        <v>339</v>
      </c>
    </row>
    <row r="1713" spans="1:6" x14ac:dyDescent="0.2">
      <c r="A1713">
        <v>10668835</v>
      </c>
      <c r="B1713">
        <v>2014</v>
      </c>
      <c r="C1713">
        <v>11.362918509159799</v>
      </c>
      <c r="D1713" t="s">
        <v>337</v>
      </c>
      <c r="E1713" t="s">
        <v>338</v>
      </c>
      <c r="F1713" t="s">
        <v>339</v>
      </c>
    </row>
    <row r="1714" spans="1:6" x14ac:dyDescent="0.2">
      <c r="A1714">
        <v>10668835</v>
      </c>
      <c r="B1714">
        <v>2013</v>
      </c>
      <c r="C1714">
        <v>29.290336978353</v>
      </c>
      <c r="D1714" t="s">
        <v>337</v>
      </c>
      <c r="E1714" t="s">
        <v>338</v>
      </c>
      <c r="F1714" t="s">
        <v>339</v>
      </c>
    </row>
    <row r="1715" spans="1:6" x14ac:dyDescent="0.2">
      <c r="A1715">
        <v>10668835</v>
      </c>
      <c r="B1715">
        <v>2012</v>
      </c>
      <c r="C1715">
        <v>26.735118488725298</v>
      </c>
      <c r="D1715" t="s">
        <v>337</v>
      </c>
      <c r="E1715" t="s">
        <v>338</v>
      </c>
      <c r="F1715" t="s">
        <v>339</v>
      </c>
    </row>
    <row r="1716" spans="1:6" x14ac:dyDescent="0.2">
      <c r="A1716">
        <v>43161781</v>
      </c>
      <c r="B1716">
        <v>2020</v>
      </c>
      <c r="C1716">
        <v>12.496813061729201</v>
      </c>
      <c r="D1716" t="s">
        <v>80</v>
      </c>
      <c r="E1716" t="s">
        <v>81</v>
      </c>
      <c r="F1716" t="s">
        <v>42</v>
      </c>
    </row>
    <row r="1717" spans="1:6" x14ac:dyDescent="0.2">
      <c r="A1717">
        <v>43161781</v>
      </c>
      <c r="B1717">
        <v>2019</v>
      </c>
      <c r="C1717">
        <v>14.7495189744303</v>
      </c>
      <c r="D1717" t="s">
        <v>80</v>
      </c>
      <c r="E1717" t="s">
        <v>81</v>
      </c>
      <c r="F1717" t="s">
        <v>42</v>
      </c>
    </row>
    <row r="1718" spans="1:6" x14ac:dyDescent="0.2">
      <c r="A1718">
        <v>43161781</v>
      </c>
      <c r="B1718">
        <v>2018</v>
      </c>
      <c r="C1718">
        <v>14.204127830160999</v>
      </c>
      <c r="D1718" t="s">
        <v>80</v>
      </c>
      <c r="E1718" t="s">
        <v>81</v>
      </c>
      <c r="F1718" t="s">
        <v>42</v>
      </c>
    </row>
    <row r="1719" spans="1:6" x14ac:dyDescent="0.2">
      <c r="A1719">
        <v>43161781</v>
      </c>
      <c r="B1719">
        <v>2017</v>
      </c>
      <c r="C1719">
        <v>13.576597423790499</v>
      </c>
      <c r="D1719" t="s">
        <v>80</v>
      </c>
      <c r="E1719" t="s">
        <v>81</v>
      </c>
      <c r="F1719" t="s">
        <v>42</v>
      </c>
    </row>
    <row r="1720" spans="1:6" x14ac:dyDescent="0.2">
      <c r="A1720">
        <v>43161781</v>
      </c>
      <c r="B1720">
        <v>2016</v>
      </c>
      <c r="C1720">
        <v>10.9417052075984</v>
      </c>
      <c r="D1720" t="s">
        <v>80</v>
      </c>
      <c r="E1720" t="s">
        <v>81</v>
      </c>
      <c r="F1720" t="s">
        <v>42</v>
      </c>
    </row>
    <row r="1721" spans="1:6" x14ac:dyDescent="0.2">
      <c r="A1721">
        <v>43161781</v>
      </c>
      <c r="B1721">
        <v>2015</v>
      </c>
      <c r="C1721">
        <v>9.2477057725152907</v>
      </c>
      <c r="D1721" t="s">
        <v>80</v>
      </c>
      <c r="E1721" t="s">
        <v>81</v>
      </c>
      <c r="F1721" t="s">
        <v>42</v>
      </c>
    </row>
    <row r="1722" spans="1:6" x14ac:dyDescent="0.2">
      <c r="A1722">
        <v>43161781</v>
      </c>
      <c r="B1722">
        <v>2014</v>
      </c>
      <c r="C1722">
        <v>14.245482538325801</v>
      </c>
      <c r="D1722" t="s">
        <v>80</v>
      </c>
      <c r="E1722" t="s">
        <v>81</v>
      </c>
      <c r="F1722" t="s">
        <v>42</v>
      </c>
    </row>
    <row r="1723" spans="1:6" x14ac:dyDescent="0.2">
      <c r="A1723">
        <v>43161781</v>
      </c>
      <c r="B1723">
        <v>2013</v>
      </c>
      <c r="C1723">
        <v>13.677811550152001</v>
      </c>
      <c r="D1723" t="s">
        <v>80</v>
      </c>
      <c r="E1723" t="s">
        <v>81</v>
      </c>
      <c r="F1723" t="s">
        <v>42</v>
      </c>
    </row>
    <row r="1724" spans="1:6" x14ac:dyDescent="0.2">
      <c r="A1724">
        <v>43161781</v>
      </c>
      <c r="B1724">
        <v>2012</v>
      </c>
      <c r="C1724">
        <v>13.0885122410546</v>
      </c>
      <c r="D1724" t="s">
        <v>80</v>
      </c>
      <c r="E1724" t="s">
        <v>81</v>
      </c>
      <c r="F1724" t="s">
        <v>42</v>
      </c>
    </row>
    <row r="1725" spans="1:6" x14ac:dyDescent="0.2">
      <c r="A1725">
        <v>43161781</v>
      </c>
      <c r="B1725">
        <v>2011</v>
      </c>
      <c r="C1725">
        <v>25.5474452554744</v>
      </c>
      <c r="D1725" t="s">
        <v>80</v>
      </c>
      <c r="E1725" t="s">
        <v>81</v>
      </c>
      <c r="F1725" t="s">
        <v>42</v>
      </c>
    </row>
    <row r="1726" spans="1:6" x14ac:dyDescent="0.2">
      <c r="A1726">
        <v>97813428</v>
      </c>
      <c r="B1726">
        <v>2020</v>
      </c>
      <c r="C1726">
        <v>11.211636052702501</v>
      </c>
      <c r="D1726" t="s">
        <v>1109</v>
      </c>
      <c r="E1726"/>
      <c r="F1726" t="s">
        <v>37</v>
      </c>
    </row>
    <row r="1727" spans="1:6" x14ac:dyDescent="0.2">
      <c r="A1727">
        <v>97813428</v>
      </c>
      <c r="B1727">
        <v>2019</v>
      </c>
      <c r="C1727">
        <v>11.4897421952058</v>
      </c>
      <c r="D1727" t="s">
        <v>1109</v>
      </c>
      <c r="E1727"/>
      <c r="F1727" t="s">
        <v>37</v>
      </c>
    </row>
    <row r="1728" spans="1:6" x14ac:dyDescent="0.2">
      <c r="A1728">
        <v>97813428</v>
      </c>
      <c r="B1728">
        <v>2018</v>
      </c>
      <c r="C1728">
        <v>11.5029779282962</v>
      </c>
      <c r="D1728" t="s">
        <v>1109</v>
      </c>
      <c r="E1728"/>
      <c r="F1728" t="s">
        <v>37</v>
      </c>
    </row>
    <row r="1729" spans="1:6" x14ac:dyDescent="0.2">
      <c r="A1729">
        <v>97813428</v>
      </c>
      <c r="B1729">
        <v>2017</v>
      </c>
      <c r="C1729">
        <v>10.1613903338041</v>
      </c>
      <c r="D1729" t="s">
        <v>1109</v>
      </c>
      <c r="E1729"/>
      <c r="F1729" t="s">
        <v>37</v>
      </c>
    </row>
    <row r="1730" spans="1:6" x14ac:dyDescent="0.2">
      <c r="A1730">
        <v>97813428</v>
      </c>
      <c r="B1730">
        <v>2016</v>
      </c>
      <c r="C1730">
        <v>8.61721999195038</v>
      </c>
      <c r="D1730" t="s">
        <v>1109</v>
      </c>
      <c r="E1730"/>
      <c r="F1730" t="s">
        <v>37</v>
      </c>
    </row>
    <row r="1731" spans="1:6" x14ac:dyDescent="0.2">
      <c r="A1731">
        <v>97813428</v>
      </c>
      <c r="B1731">
        <v>2015</v>
      </c>
      <c r="C1731">
        <v>9.1780631750281803</v>
      </c>
      <c r="D1731" t="s">
        <v>1109</v>
      </c>
      <c r="E1731"/>
      <c r="F1731" t="s">
        <v>37</v>
      </c>
    </row>
    <row r="1732" spans="1:6" x14ac:dyDescent="0.2">
      <c r="A1732">
        <v>97813428</v>
      </c>
      <c r="B1732">
        <v>2012</v>
      </c>
      <c r="C1732">
        <v>12.504240511415199</v>
      </c>
      <c r="D1732" t="s">
        <v>1109</v>
      </c>
      <c r="E1732"/>
      <c r="F1732" t="s">
        <v>37</v>
      </c>
    </row>
    <row r="1733" spans="1:6" x14ac:dyDescent="0.2">
      <c r="A1733">
        <v>19828431</v>
      </c>
      <c r="B1733">
        <v>2020</v>
      </c>
      <c r="C1733">
        <v>15.488822822046499</v>
      </c>
      <c r="D1733" t="s">
        <v>806</v>
      </c>
      <c r="E1733" t="s">
        <v>807</v>
      </c>
      <c r="F1733" t="s">
        <v>388</v>
      </c>
    </row>
    <row r="1734" spans="1:6" x14ac:dyDescent="0.2">
      <c r="A1734">
        <v>26559531</v>
      </c>
      <c r="B1734">
        <v>2020</v>
      </c>
      <c r="C1734">
        <v>5.7187318066555504</v>
      </c>
      <c r="D1734" t="s">
        <v>106</v>
      </c>
      <c r="E1734" t="s">
        <v>107</v>
      </c>
      <c r="F1734" t="s">
        <v>94</v>
      </c>
    </row>
    <row r="1735" spans="1:6" x14ac:dyDescent="0.2">
      <c r="A1735">
        <v>26559531</v>
      </c>
      <c r="B1735">
        <v>2019</v>
      </c>
      <c r="C1735">
        <v>6.5775138626704699</v>
      </c>
      <c r="D1735" t="s">
        <v>106</v>
      </c>
      <c r="E1735" t="s">
        <v>107</v>
      </c>
      <c r="F1735" t="s">
        <v>94</v>
      </c>
    </row>
    <row r="1736" spans="1:6" x14ac:dyDescent="0.2">
      <c r="A1736">
        <v>26559531</v>
      </c>
      <c r="B1736">
        <v>2018</v>
      </c>
      <c r="C1736">
        <v>7.1185278497516604</v>
      </c>
      <c r="D1736" t="s">
        <v>106</v>
      </c>
      <c r="E1736" t="s">
        <v>107</v>
      </c>
      <c r="F1736" t="s">
        <v>94</v>
      </c>
    </row>
    <row r="1737" spans="1:6" x14ac:dyDescent="0.2">
      <c r="A1737">
        <v>26559531</v>
      </c>
      <c r="B1737">
        <v>2017</v>
      </c>
      <c r="C1737">
        <v>7.2109778699691898</v>
      </c>
      <c r="D1737" t="s">
        <v>106</v>
      </c>
      <c r="E1737" t="s">
        <v>107</v>
      </c>
      <c r="F1737" t="s">
        <v>94</v>
      </c>
    </row>
    <row r="1738" spans="1:6" x14ac:dyDescent="0.2">
      <c r="A1738">
        <v>26559531</v>
      </c>
      <c r="B1738">
        <v>2016</v>
      </c>
      <c r="C1738">
        <v>5.8879021463767902</v>
      </c>
      <c r="D1738" t="s">
        <v>106</v>
      </c>
      <c r="E1738" t="s">
        <v>107</v>
      </c>
      <c r="F1738" t="s">
        <v>94</v>
      </c>
    </row>
    <row r="1739" spans="1:6" x14ac:dyDescent="0.2">
      <c r="A1739">
        <v>26559531</v>
      </c>
      <c r="B1739">
        <v>2015</v>
      </c>
      <c r="C1739">
        <v>9.0440727018699398</v>
      </c>
      <c r="D1739" t="s">
        <v>106</v>
      </c>
      <c r="E1739" t="s">
        <v>107</v>
      </c>
      <c r="F1739" t="s">
        <v>94</v>
      </c>
    </row>
    <row r="1740" spans="1:6" x14ac:dyDescent="0.2">
      <c r="A1740">
        <v>40502602</v>
      </c>
      <c r="B1740">
        <v>2020</v>
      </c>
      <c r="C1740">
        <v>70.718431665073794</v>
      </c>
      <c r="D1740" t="s">
        <v>1043</v>
      </c>
      <c r="E1740" t="s">
        <v>298</v>
      </c>
      <c r="F1740" t="s">
        <v>33</v>
      </c>
    </row>
    <row r="1741" spans="1:6" x14ac:dyDescent="0.2">
      <c r="A1741">
        <v>40502602</v>
      </c>
      <c r="B1741">
        <v>2019</v>
      </c>
      <c r="C1741">
        <v>62.601764822834099</v>
      </c>
      <c r="D1741" t="s">
        <v>1043</v>
      </c>
      <c r="E1741" t="s">
        <v>298</v>
      </c>
      <c r="F1741" t="s">
        <v>33</v>
      </c>
    </row>
    <row r="1742" spans="1:6" x14ac:dyDescent="0.2">
      <c r="A1742">
        <v>40502602</v>
      </c>
      <c r="B1742">
        <v>2018</v>
      </c>
      <c r="C1742">
        <v>60.634580833190697</v>
      </c>
      <c r="D1742" t="s">
        <v>1043</v>
      </c>
      <c r="E1742" t="s">
        <v>298</v>
      </c>
      <c r="F1742" t="s">
        <v>33</v>
      </c>
    </row>
    <row r="1743" spans="1:6" x14ac:dyDescent="0.2">
      <c r="A1743">
        <v>40502602</v>
      </c>
      <c r="B1743">
        <v>2017</v>
      </c>
      <c r="C1743">
        <v>54.566390221702903</v>
      </c>
      <c r="D1743" t="s">
        <v>1043</v>
      </c>
      <c r="E1743" t="s">
        <v>298</v>
      </c>
      <c r="F1743" t="s">
        <v>33</v>
      </c>
    </row>
    <row r="1744" spans="1:6" x14ac:dyDescent="0.2">
      <c r="A1744">
        <v>40502602</v>
      </c>
      <c r="B1744">
        <v>2015</v>
      </c>
      <c r="C1744">
        <v>40.019132653061199</v>
      </c>
      <c r="D1744" t="s">
        <v>1043</v>
      </c>
      <c r="E1744" t="s">
        <v>298</v>
      </c>
      <c r="F1744" t="s">
        <v>33</v>
      </c>
    </row>
    <row r="1745" spans="1:6" x14ac:dyDescent="0.2">
      <c r="A1745">
        <v>40502602</v>
      </c>
      <c r="B1745">
        <v>2013</v>
      </c>
      <c r="C1745">
        <v>48.269230769230802</v>
      </c>
      <c r="D1745" t="s">
        <v>1043</v>
      </c>
      <c r="E1745" t="s">
        <v>298</v>
      </c>
      <c r="F1745" t="s">
        <v>33</v>
      </c>
    </row>
    <row r="1746" spans="1:6" x14ac:dyDescent="0.2">
      <c r="A1746">
        <v>52883976</v>
      </c>
      <c r="B1746">
        <v>2019</v>
      </c>
      <c r="C1746">
        <v>7.17824655291437</v>
      </c>
      <c r="D1746" t="s">
        <v>467</v>
      </c>
      <c r="E1746" t="s">
        <v>468</v>
      </c>
      <c r="F1746" t="s">
        <v>94</v>
      </c>
    </row>
    <row r="1747" spans="1:6" x14ac:dyDescent="0.2">
      <c r="A1747">
        <v>26157848</v>
      </c>
      <c r="B1747">
        <v>2020</v>
      </c>
      <c r="C1747">
        <v>6.0392445651215896</v>
      </c>
      <c r="D1747" t="s">
        <v>763</v>
      </c>
      <c r="E1747" t="s">
        <v>764</v>
      </c>
      <c r="F1747" t="s">
        <v>268</v>
      </c>
    </row>
    <row r="1748" spans="1:6" x14ac:dyDescent="0.2">
      <c r="A1748">
        <v>26157848</v>
      </c>
      <c r="B1748">
        <v>2019</v>
      </c>
      <c r="C1748">
        <v>5.51370540794617</v>
      </c>
      <c r="D1748" t="s">
        <v>763</v>
      </c>
      <c r="E1748" t="s">
        <v>764</v>
      </c>
      <c r="F1748" t="s">
        <v>268</v>
      </c>
    </row>
    <row r="1749" spans="1:6" x14ac:dyDescent="0.2">
      <c r="A1749">
        <v>26157848</v>
      </c>
      <c r="B1749">
        <v>2018</v>
      </c>
      <c r="C1749">
        <v>5.2278590076595597</v>
      </c>
      <c r="D1749" t="s">
        <v>763</v>
      </c>
      <c r="E1749" t="s">
        <v>764</v>
      </c>
      <c r="F1749" t="s">
        <v>268</v>
      </c>
    </row>
    <row r="1750" spans="1:6" x14ac:dyDescent="0.2">
      <c r="A1750">
        <v>26157848</v>
      </c>
      <c r="B1750">
        <v>2017</v>
      </c>
      <c r="C1750">
        <v>4.7087538910701001</v>
      </c>
      <c r="D1750" t="s">
        <v>763</v>
      </c>
      <c r="E1750" t="s">
        <v>764</v>
      </c>
      <c r="F1750" t="s">
        <v>268</v>
      </c>
    </row>
    <row r="1751" spans="1:6" x14ac:dyDescent="0.2">
      <c r="A1751">
        <v>26157848</v>
      </c>
      <c r="B1751">
        <v>2016</v>
      </c>
      <c r="C1751">
        <v>3.7724491518557599</v>
      </c>
      <c r="D1751" t="s">
        <v>763</v>
      </c>
      <c r="E1751" t="s">
        <v>764</v>
      </c>
      <c r="F1751" t="s">
        <v>268</v>
      </c>
    </row>
    <row r="1752" spans="1:6" x14ac:dyDescent="0.2">
      <c r="A1752">
        <v>26157848</v>
      </c>
      <c r="B1752">
        <v>2015</v>
      </c>
      <c r="C1752">
        <v>4.6170858029940502</v>
      </c>
      <c r="D1752" t="s">
        <v>763</v>
      </c>
      <c r="E1752" t="s">
        <v>764</v>
      </c>
      <c r="F1752" t="s">
        <v>268</v>
      </c>
    </row>
    <row r="1753" spans="1:6" x14ac:dyDescent="0.2">
      <c r="A1753">
        <v>26157848</v>
      </c>
      <c r="B1753">
        <v>2014</v>
      </c>
      <c r="C1753">
        <v>8.3195381807377196</v>
      </c>
      <c r="D1753" t="s">
        <v>763</v>
      </c>
      <c r="E1753" t="s">
        <v>764</v>
      </c>
      <c r="F1753" t="s">
        <v>268</v>
      </c>
    </row>
    <row r="1754" spans="1:6" x14ac:dyDescent="0.2">
      <c r="A1754">
        <v>26157848</v>
      </c>
      <c r="B1754">
        <v>2013</v>
      </c>
      <c r="C1754">
        <v>8.9552238805970195</v>
      </c>
      <c r="D1754" t="s">
        <v>763</v>
      </c>
      <c r="E1754" t="s">
        <v>764</v>
      </c>
      <c r="F1754" t="s">
        <v>268</v>
      </c>
    </row>
    <row r="1755" spans="1:6" x14ac:dyDescent="0.2">
      <c r="A1755">
        <v>26157848</v>
      </c>
      <c r="B1755">
        <v>2012</v>
      </c>
      <c r="C1755">
        <v>12.467972256222</v>
      </c>
      <c r="D1755" t="s">
        <v>763</v>
      </c>
      <c r="E1755" t="s">
        <v>764</v>
      </c>
      <c r="F1755" t="s">
        <v>268</v>
      </c>
    </row>
    <row r="1756" spans="1:6" x14ac:dyDescent="0.2">
      <c r="A1756">
        <v>88428900</v>
      </c>
      <c r="B1756">
        <v>2011</v>
      </c>
      <c r="C1756">
        <v>67.5</v>
      </c>
      <c r="D1756" t="s">
        <v>283</v>
      </c>
      <c r="E1756" t="s">
        <v>283</v>
      </c>
      <c r="F1756" t="s">
        <v>284</v>
      </c>
    </row>
    <row r="1757" spans="1:6" x14ac:dyDescent="0.2">
      <c r="A1757">
        <v>85965862</v>
      </c>
      <c r="B1757">
        <v>2019</v>
      </c>
      <c r="C1757">
        <v>55.013672117036002</v>
      </c>
      <c r="D1757" t="s">
        <v>676</v>
      </c>
      <c r="E1757" t="s">
        <v>32</v>
      </c>
      <c r="F1757" t="s">
        <v>33</v>
      </c>
    </row>
    <row r="1758" spans="1:6" x14ac:dyDescent="0.2">
      <c r="A1758">
        <v>62851268</v>
      </c>
      <c r="B1758">
        <v>2019</v>
      </c>
      <c r="C1758">
        <v>36.094396042528103</v>
      </c>
      <c r="D1758" t="s">
        <v>676</v>
      </c>
      <c r="E1758" t="s">
        <v>677</v>
      </c>
      <c r="F1758" t="s">
        <v>678</v>
      </c>
    </row>
    <row r="1759" spans="1:6" x14ac:dyDescent="0.2">
      <c r="A1759">
        <v>85965862</v>
      </c>
      <c r="B1759">
        <v>2018</v>
      </c>
      <c r="C1759">
        <v>57.2058784817321</v>
      </c>
      <c r="D1759" t="s">
        <v>676</v>
      </c>
      <c r="E1759" t="s">
        <v>32</v>
      </c>
      <c r="F1759" t="s">
        <v>33</v>
      </c>
    </row>
    <row r="1760" spans="1:6" x14ac:dyDescent="0.2">
      <c r="A1760">
        <v>62851268</v>
      </c>
      <c r="B1760">
        <v>2018</v>
      </c>
      <c r="C1760">
        <v>41.956239912456702</v>
      </c>
      <c r="D1760" t="s">
        <v>676</v>
      </c>
      <c r="E1760" t="s">
        <v>677</v>
      </c>
      <c r="F1760" t="s">
        <v>678</v>
      </c>
    </row>
    <row r="1761" spans="1:6" x14ac:dyDescent="0.2">
      <c r="A1761">
        <v>62851268</v>
      </c>
      <c r="B1761">
        <v>2016</v>
      </c>
      <c r="C1761">
        <v>32.012830742561597</v>
      </c>
      <c r="D1761" t="s">
        <v>676</v>
      </c>
      <c r="E1761" t="s">
        <v>677</v>
      </c>
      <c r="F1761" t="s">
        <v>678</v>
      </c>
    </row>
    <row r="1762" spans="1:6" x14ac:dyDescent="0.2">
      <c r="A1762">
        <v>62851268</v>
      </c>
      <c r="B1762">
        <v>2014</v>
      </c>
      <c r="C1762">
        <v>24.598032157427401</v>
      </c>
      <c r="D1762" t="s">
        <v>676</v>
      </c>
      <c r="E1762" t="s">
        <v>677</v>
      </c>
      <c r="F1762" t="s">
        <v>678</v>
      </c>
    </row>
    <row r="1763" spans="1:6" x14ac:dyDescent="0.2">
      <c r="A1763">
        <v>62851268</v>
      </c>
      <c r="B1763">
        <v>2013</v>
      </c>
      <c r="C1763">
        <v>30.5338809034908</v>
      </c>
      <c r="D1763" t="s">
        <v>676</v>
      </c>
      <c r="E1763" t="s">
        <v>677</v>
      </c>
      <c r="F1763" t="s">
        <v>678</v>
      </c>
    </row>
    <row r="1764" spans="1:6" x14ac:dyDescent="0.2">
      <c r="A1764">
        <v>53022365</v>
      </c>
      <c r="B1764">
        <v>2019</v>
      </c>
      <c r="C1764">
        <v>60.920121334681497</v>
      </c>
      <c r="D1764" t="s">
        <v>912</v>
      </c>
      <c r="E1764" t="s">
        <v>18</v>
      </c>
      <c r="F1764" t="s">
        <v>19</v>
      </c>
    </row>
    <row r="1765" spans="1:6" x14ac:dyDescent="0.2">
      <c r="A1765">
        <v>53022365</v>
      </c>
      <c r="B1765">
        <v>2018</v>
      </c>
      <c r="C1765">
        <v>60.675829269489498</v>
      </c>
      <c r="D1765" t="s">
        <v>912</v>
      </c>
      <c r="E1765" t="s">
        <v>18</v>
      </c>
      <c r="F1765" t="s">
        <v>19</v>
      </c>
    </row>
    <row r="1766" spans="1:6" x14ac:dyDescent="0.2">
      <c r="A1766">
        <v>59396526</v>
      </c>
      <c r="B1766">
        <v>2020</v>
      </c>
      <c r="C1766">
        <v>42.448409477652604</v>
      </c>
      <c r="D1766" t="s">
        <v>1026</v>
      </c>
      <c r="E1766" t="s">
        <v>32</v>
      </c>
      <c r="F1766" t="s">
        <v>33</v>
      </c>
    </row>
    <row r="1767" spans="1:6" x14ac:dyDescent="0.2">
      <c r="A1767">
        <v>59396526</v>
      </c>
      <c r="B1767">
        <v>2019</v>
      </c>
      <c r="C1767">
        <v>55.432495415732603</v>
      </c>
      <c r="D1767" t="s">
        <v>1026</v>
      </c>
      <c r="E1767" t="s">
        <v>32</v>
      </c>
      <c r="F1767" t="s">
        <v>33</v>
      </c>
    </row>
    <row r="1768" spans="1:6" x14ac:dyDescent="0.2">
      <c r="A1768">
        <v>59396526</v>
      </c>
      <c r="B1768">
        <v>2018</v>
      </c>
      <c r="C1768">
        <v>51.898160760051503</v>
      </c>
      <c r="D1768" t="s">
        <v>1026</v>
      </c>
      <c r="E1768" t="s">
        <v>32</v>
      </c>
      <c r="F1768" t="s">
        <v>33</v>
      </c>
    </row>
    <row r="1769" spans="1:6" x14ac:dyDescent="0.2">
      <c r="A1769">
        <v>59396526</v>
      </c>
      <c r="B1769">
        <v>2017</v>
      </c>
      <c r="C1769">
        <v>51.101857509213801</v>
      </c>
      <c r="D1769" t="s">
        <v>1026</v>
      </c>
      <c r="E1769" t="s">
        <v>32</v>
      </c>
      <c r="F1769" t="s">
        <v>33</v>
      </c>
    </row>
    <row r="1770" spans="1:6" x14ac:dyDescent="0.2">
      <c r="A1770">
        <v>59396526</v>
      </c>
      <c r="B1770">
        <v>2015</v>
      </c>
      <c r="C1770">
        <v>34.673947704081598</v>
      </c>
      <c r="D1770" t="s">
        <v>1026</v>
      </c>
      <c r="E1770" t="s">
        <v>32</v>
      </c>
      <c r="F1770" t="s">
        <v>33</v>
      </c>
    </row>
    <row r="1771" spans="1:6" x14ac:dyDescent="0.2">
      <c r="A1771">
        <v>59396526</v>
      </c>
      <c r="B1771">
        <v>2014</v>
      </c>
      <c r="C1771">
        <v>35.624347398808403</v>
      </c>
      <c r="D1771" t="s">
        <v>1026</v>
      </c>
      <c r="E1771" t="s">
        <v>32</v>
      </c>
      <c r="F1771" t="s">
        <v>33</v>
      </c>
    </row>
    <row r="1772" spans="1:6" x14ac:dyDescent="0.2">
      <c r="A1772">
        <v>59396526</v>
      </c>
      <c r="B1772">
        <v>2012</v>
      </c>
      <c r="C1772">
        <v>34.4660194174757</v>
      </c>
      <c r="D1772" t="s">
        <v>1026</v>
      </c>
      <c r="E1772" t="s">
        <v>32</v>
      </c>
      <c r="F1772" t="s">
        <v>33</v>
      </c>
    </row>
    <row r="1773" spans="1:6" x14ac:dyDescent="0.2">
      <c r="A1773">
        <v>36949342</v>
      </c>
      <c r="B1773">
        <v>2017</v>
      </c>
      <c r="C1773">
        <v>13.714733542319699</v>
      </c>
      <c r="D1773" t="s">
        <v>1089</v>
      </c>
      <c r="E1773"/>
      <c r="F1773" t="s">
        <v>37</v>
      </c>
    </row>
    <row r="1774" spans="1:6" x14ac:dyDescent="0.2">
      <c r="A1774">
        <v>63480678</v>
      </c>
      <c r="B1774">
        <v>2020</v>
      </c>
      <c r="C1774">
        <v>69.875</v>
      </c>
      <c r="D1774" t="s">
        <v>1006</v>
      </c>
      <c r="E1774" t="s">
        <v>579</v>
      </c>
      <c r="F1774" t="s">
        <v>1126</v>
      </c>
    </row>
    <row r="1775" spans="1:6" x14ac:dyDescent="0.2">
      <c r="A1775">
        <v>63480678</v>
      </c>
      <c r="B1775">
        <v>2019</v>
      </c>
      <c r="C1775">
        <v>59.7777777777778</v>
      </c>
      <c r="D1775" t="s">
        <v>1006</v>
      </c>
      <c r="E1775" t="s">
        <v>579</v>
      </c>
      <c r="F1775" t="s">
        <v>1126</v>
      </c>
    </row>
    <row r="1776" spans="1:6" x14ac:dyDescent="0.2">
      <c r="A1776">
        <v>63480678</v>
      </c>
      <c r="B1776">
        <v>2018</v>
      </c>
      <c r="C1776">
        <v>51.8333333333333</v>
      </c>
      <c r="D1776" t="s">
        <v>1006</v>
      </c>
      <c r="E1776" t="s">
        <v>579</v>
      </c>
      <c r="F1776" t="s">
        <v>1126</v>
      </c>
    </row>
    <row r="1777" spans="1:6" x14ac:dyDescent="0.2">
      <c r="A1777">
        <v>63480678</v>
      </c>
      <c r="B1777">
        <v>2017</v>
      </c>
      <c r="C1777">
        <v>53</v>
      </c>
      <c r="D1777" t="s">
        <v>1006</v>
      </c>
      <c r="E1777" t="s">
        <v>579</v>
      </c>
      <c r="F1777" t="s">
        <v>1126</v>
      </c>
    </row>
    <row r="1778" spans="1:6" x14ac:dyDescent="0.2">
      <c r="A1778">
        <v>63480678</v>
      </c>
      <c r="B1778">
        <v>2016</v>
      </c>
      <c r="C1778">
        <v>48.327777777777797</v>
      </c>
      <c r="D1778" t="s">
        <v>1006</v>
      </c>
      <c r="E1778" t="s">
        <v>579</v>
      </c>
      <c r="F1778" t="s">
        <v>1126</v>
      </c>
    </row>
    <row r="1779" spans="1:6" x14ac:dyDescent="0.2">
      <c r="A1779">
        <v>63480678</v>
      </c>
      <c r="B1779">
        <v>2015</v>
      </c>
      <c r="C1779">
        <v>49</v>
      </c>
      <c r="D1779" t="s">
        <v>1006</v>
      </c>
      <c r="E1779" t="s">
        <v>579</v>
      </c>
      <c r="F1779" t="s">
        <v>1126</v>
      </c>
    </row>
    <row r="1780" spans="1:6" x14ac:dyDescent="0.2">
      <c r="A1780">
        <v>63480678</v>
      </c>
      <c r="B1780">
        <v>2014</v>
      </c>
      <c r="C1780">
        <v>43.3333333333333</v>
      </c>
      <c r="D1780" t="s">
        <v>1006</v>
      </c>
      <c r="E1780" t="s">
        <v>579</v>
      </c>
      <c r="F1780" t="s">
        <v>1126</v>
      </c>
    </row>
    <row r="1781" spans="1:6" x14ac:dyDescent="0.2">
      <c r="A1781">
        <v>51657134</v>
      </c>
      <c r="B1781">
        <v>2020</v>
      </c>
      <c r="C1781">
        <v>16.112599107258301</v>
      </c>
      <c r="D1781" t="s">
        <v>1107</v>
      </c>
      <c r="E1781" t="s">
        <v>1108</v>
      </c>
      <c r="F1781" t="s">
        <v>388</v>
      </c>
    </row>
    <row r="1782" spans="1:6" x14ac:dyDescent="0.2">
      <c r="A1782">
        <v>51657134</v>
      </c>
      <c r="B1782">
        <v>2019</v>
      </c>
      <c r="C1782">
        <v>13.013589440773501</v>
      </c>
      <c r="D1782" t="s">
        <v>1107</v>
      </c>
      <c r="E1782" t="s">
        <v>1108</v>
      </c>
      <c r="F1782" t="s">
        <v>388</v>
      </c>
    </row>
    <row r="1783" spans="1:6" x14ac:dyDescent="0.2">
      <c r="A1783">
        <v>51657134</v>
      </c>
      <c r="B1783">
        <v>2018</v>
      </c>
      <c r="C1783">
        <v>16.5617790795582</v>
      </c>
      <c r="D1783" t="s">
        <v>1107</v>
      </c>
      <c r="E1783" t="s">
        <v>1108</v>
      </c>
      <c r="F1783" t="s">
        <v>388</v>
      </c>
    </row>
    <row r="1784" spans="1:6" x14ac:dyDescent="0.2">
      <c r="A1784">
        <v>77304860</v>
      </c>
      <c r="B1784">
        <v>2020</v>
      </c>
      <c r="C1784">
        <v>10.958722292149201</v>
      </c>
      <c r="D1784" t="s">
        <v>250</v>
      </c>
      <c r="E1784" t="s">
        <v>251</v>
      </c>
      <c r="F1784" t="s">
        <v>137</v>
      </c>
    </row>
    <row r="1785" spans="1:6" x14ac:dyDescent="0.2">
      <c r="A1785">
        <v>77304860</v>
      </c>
      <c r="B1785">
        <v>2019</v>
      </c>
      <c r="C1785">
        <v>8.2224326935038299</v>
      </c>
      <c r="D1785" t="s">
        <v>250</v>
      </c>
      <c r="E1785" t="s">
        <v>251</v>
      </c>
      <c r="F1785" t="s">
        <v>137</v>
      </c>
    </row>
    <row r="1786" spans="1:6" x14ac:dyDescent="0.2">
      <c r="A1786">
        <v>77304860</v>
      </c>
      <c r="B1786">
        <v>2018</v>
      </c>
      <c r="C1786">
        <v>13.860313447658701</v>
      </c>
      <c r="D1786" t="s">
        <v>250</v>
      </c>
      <c r="E1786" t="s">
        <v>251</v>
      </c>
      <c r="F1786" t="s">
        <v>137</v>
      </c>
    </row>
    <row r="1787" spans="1:6" x14ac:dyDescent="0.2">
      <c r="A1787">
        <v>77304860</v>
      </c>
      <c r="B1787">
        <v>2017</v>
      </c>
      <c r="C1787">
        <v>18.151956140214601</v>
      </c>
      <c r="D1787" t="s">
        <v>250</v>
      </c>
      <c r="E1787" t="s">
        <v>251</v>
      </c>
      <c r="F1787" t="s">
        <v>137</v>
      </c>
    </row>
    <row r="1788" spans="1:6" x14ac:dyDescent="0.2">
      <c r="A1788">
        <v>77304860</v>
      </c>
      <c r="B1788">
        <v>2016</v>
      </c>
      <c r="C1788">
        <v>22.924192907726098</v>
      </c>
      <c r="D1788" t="s">
        <v>250</v>
      </c>
      <c r="E1788" t="s">
        <v>251</v>
      </c>
      <c r="F1788" t="s">
        <v>137</v>
      </c>
    </row>
    <row r="1789" spans="1:6" x14ac:dyDescent="0.2">
      <c r="A1789">
        <v>77304860</v>
      </c>
      <c r="B1789">
        <v>2015</v>
      </c>
      <c r="C1789">
        <v>17.2535764816853</v>
      </c>
      <c r="D1789" t="s">
        <v>250</v>
      </c>
      <c r="E1789" t="s">
        <v>251</v>
      </c>
      <c r="F1789" t="s">
        <v>137</v>
      </c>
    </row>
    <row r="1790" spans="1:6" x14ac:dyDescent="0.2">
      <c r="A1790">
        <v>77304860</v>
      </c>
      <c r="B1790">
        <v>2014</v>
      </c>
      <c r="C1790">
        <v>19.1381818980683</v>
      </c>
      <c r="D1790" t="s">
        <v>250</v>
      </c>
      <c r="E1790" t="s">
        <v>251</v>
      </c>
      <c r="F1790" t="s">
        <v>137</v>
      </c>
    </row>
    <row r="1791" spans="1:6" x14ac:dyDescent="0.2">
      <c r="A1791">
        <v>77304860</v>
      </c>
      <c r="B1791">
        <v>2013</v>
      </c>
      <c r="C1791">
        <v>23.061946902654899</v>
      </c>
      <c r="D1791" t="s">
        <v>250</v>
      </c>
      <c r="E1791" t="s">
        <v>251</v>
      </c>
      <c r="F1791" t="s">
        <v>137</v>
      </c>
    </row>
    <row r="1792" spans="1:6" x14ac:dyDescent="0.2">
      <c r="A1792">
        <v>77304860</v>
      </c>
      <c r="B1792">
        <v>2012</v>
      </c>
      <c r="C1792">
        <v>30.820293978188701</v>
      </c>
      <c r="D1792" t="s">
        <v>250</v>
      </c>
      <c r="E1792" t="s">
        <v>251</v>
      </c>
      <c r="F1792" t="s">
        <v>137</v>
      </c>
    </row>
    <row r="1793" spans="1:6" x14ac:dyDescent="0.2">
      <c r="A1793">
        <v>77304860</v>
      </c>
      <c r="B1793">
        <v>2011</v>
      </c>
      <c r="C1793">
        <v>21.1298932384342</v>
      </c>
      <c r="D1793" t="s">
        <v>250</v>
      </c>
      <c r="E1793" t="s">
        <v>251</v>
      </c>
      <c r="F1793" t="s">
        <v>137</v>
      </c>
    </row>
    <row r="1794" spans="1:6" x14ac:dyDescent="0.2">
      <c r="A1794">
        <v>95890044</v>
      </c>
      <c r="B1794">
        <v>2020</v>
      </c>
      <c r="C1794">
        <v>9.2661078848585703</v>
      </c>
      <c r="D1794" t="s">
        <v>158</v>
      </c>
      <c r="E1794" t="s">
        <v>159</v>
      </c>
      <c r="F1794" t="s">
        <v>137</v>
      </c>
    </row>
    <row r="1795" spans="1:6" x14ac:dyDescent="0.2">
      <c r="A1795">
        <v>95890044</v>
      </c>
      <c r="B1795">
        <v>2019</v>
      </c>
      <c r="C1795">
        <v>8.8308932171069898</v>
      </c>
      <c r="D1795" t="s">
        <v>158</v>
      </c>
      <c r="E1795" t="s">
        <v>159</v>
      </c>
      <c r="F1795" t="s">
        <v>137</v>
      </c>
    </row>
    <row r="1796" spans="1:6" x14ac:dyDescent="0.2">
      <c r="A1796">
        <v>95890044</v>
      </c>
      <c r="B1796">
        <v>2018</v>
      </c>
      <c r="C1796">
        <v>9.8471415617519291</v>
      </c>
      <c r="D1796" t="s">
        <v>158</v>
      </c>
      <c r="E1796" t="s">
        <v>159</v>
      </c>
      <c r="F1796" t="s">
        <v>137</v>
      </c>
    </row>
    <row r="1797" spans="1:6" x14ac:dyDescent="0.2">
      <c r="A1797">
        <v>95890044</v>
      </c>
      <c r="B1797">
        <v>2017</v>
      </c>
      <c r="C1797">
        <v>13.927595594778101</v>
      </c>
      <c r="D1797" t="s">
        <v>158</v>
      </c>
      <c r="E1797" t="s">
        <v>159</v>
      </c>
      <c r="F1797" t="s">
        <v>137</v>
      </c>
    </row>
    <row r="1798" spans="1:6" x14ac:dyDescent="0.2">
      <c r="A1798">
        <v>95890044</v>
      </c>
      <c r="B1798">
        <v>2016</v>
      </c>
      <c r="C1798">
        <v>20.695190075838401</v>
      </c>
      <c r="D1798" t="s">
        <v>158</v>
      </c>
      <c r="E1798" t="s">
        <v>159</v>
      </c>
      <c r="F1798" t="s">
        <v>137</v>
      </c>
    </row>
    <row r="1799" spans="1:6" x14ac:dyDescent="0.2">
      <c r="A1799">
        <v>95890044</v>
      </c>
      <c r="B1799">
        <v>2015</v>
      </c>
      <c r="C1799">
        <v>17.4295810748925</v>
      </c>
      <c r="D1799" t="s">
        <v>158</v>
      </c>
      <c r="E1799" t="s">
        <v>159</v>
      </c>
      <c r="F1799" t="s">
        <v>137</v>
      </c>
    </row>
    <row r="1800" spans="1:6" x14ac:dyDescent="0.2">
      <c r="A1800">
        <v>95890044</v>
      </c>
      <c r="B1800">
        <v>2014</v>
      </c>
      <c r="C1800">
        <v>20.9829956056819</v>
      </c>
      <c r="D1800" t="s">
        <v>158</v>
      </c>
      <c r="E1800" t="s">
        <v>159</v>
      </c>
      <c r="F1800" t="s">
        <v>137</v>
      </c>
    </row>
    <row r="1801" spans="1:6" x14ac:dyDescent="0.2">
      <c r="A1801">
        <v>95890044</v>
      </c>
      <c r="B1801">
        <v>2013</v>
      </c>
      <c r="C1801">
        <v>23.156342182890899</v>
      </c>
      <c r="D1801" t="s">
        <v>158</v>
      </c>
      <c r="E1801" t="s">
        <v>159</v>
      </c>
      <c r="F1801" t="s">
        <v>137</v>
      </c>
    </row>
    <row r="1802" spans="1:6" x14ac:dyDescent="0.2">
      <c r="A1802">
        <v>95890044</v>
      </c>
      <c r="B1802">
        <v>2012</v>
      </c>
      <c r="C1802">
        <v>15.7488315383052</v>
      </c>
      <c r="D1802" t="s">
        <v>158</v>
      </c>
      <c r="E1802" t="s">
        <v>159</v>
      </c>
      <c r="F1802" t="s">
        <v>137</v>
      </c>
    </row>
    <row r="1803" spans="1:6" x14ac:dyDescent="0.2">
      <c r="A1803">
        <v>95890044</v>
      </c>
      <c r="B1803">
        <v>2011</v>
      </c>
      <c r="C1803">
        <v>20.3884934756821</v>
      </c>
      <c r="D1803" t="s">
        <v>158</v>
      </c>
      <c r="E1803" t="s">
        <v>159</v>
      </c>
      <c r="F1803" t="s">
        <v>137</v>
      </c>
    </row>
    <row r="1804" spans="1:6" x14ac:dyDescent="0.2">
      <c r="A1804">
        <v>95890044</v>
      </c>
      <c r="B1804">
        <v>2010</v>
      </c>
      <c r="C1804">
        <v>28.0342249065286</v>
      </c>
      <c r="D1804" t="s">
        <v>158</v>
      </c>
      <c r="E1804" t="s">
        <v>159</v>
      </c>
      <c r="F1804" t="s">
        <v>137</v>
      </c>
    </row>
    <row r="1805" spans="1:6" x14ac:dyDescent="0.2">
      <c r="A1805">
        <v>71748493</v>
      </c>
      <c r="B1805">
        <v>2020</v>
      </c>
      <c r="C1805">
        <v>16.157651676282899</v>
      </c>
      <c r="D1805" t="s">
        <v>869</v>
      </c>
      <c r="E1805" t="s">
        <v>870</v>
      </c>
      <c r="F1805" t="s">
        <v>388</v>
      </c>
    </row>
    <row r="1806" spans="1:6" x14ac:dyDescent="0.2">
      <c r="A1806">
        <v>71748493</v>
      </c>
      <c r="B1806">
        <v>2019</v>
      </c>
      <c r="C1806">
        <v>14.790971788079201</v>
      </c>
      <c r="D1806" t="s">
        <v>869</v>
      </c>
      <c r="E1806" t="s">
        <v>870</v>
      </c>
      <c r="F1806" t="s">
        <v>388</v>
      </c>
    </row>
    <row r="1807" spans="1:6" x14ac:dyDescent="0.2">
      <c r="A1807">
        <v>97657303</v>
      </c>
      <c r="B1807">
        <v>2019</v>
      </c>
      <c r="C1807">
        <v>17.8945875961704</v>
      </c>
      <c r="D1807" t="s">
        <v>635</v>
      </c>
      <c r="E1807" t="s">
        <v>636</v>
      </c>
      <c r="F1807" t="s">
        <v>242</v>
      </c>
    </row>
    <row r="1808" spans="1:6" x14ac:dyDescent="0.2">
      <c r="A1808">
        <v>97657303</v>
      </c>
      <c r="B1808">
        <v>2018</v>
      </c>
      <c r="C1808">
        <v>22.485747348529099</v>
      </c>
      <c r="D1808" t="s">
        <v>635</v>
      </c>
      <c r="E1808" t="s">
        <v>636</v>
      </c>
      <c r="F1808" t="s">
        <v>242</v>
      </c>
    </row>
    <row r="1809" spans="1:6" x14ac:dyDescent="0.2">
      <c r="A1809">
        <v>97657303</v>
      </c>
      <c r="B1809">
        <v>2017</v>
      </c>
      <c r="C1809">
        <v>19.9983206448724</v>
      </c>
      <c r="D1809" t="s">
        <v>635</v>
      </c>
      <c r="E1809" t="s">
        <v>636</v>
      </c>
      <c r="F1809" t="s">
        <v>242</v>
      </c>
    </row>
    <row r="1810" spans="1:6" x14ac:dyDescent="0.2">
      <c r="A1810">
        <v>97657303</v>
      </c>
      <c r="B1810">
        <v>2016</v>
      </c>
      <c r="C1810">
        <v>18.773728888384401</v>
      </c>
      <c r="D1810" t="s">
        <v>635</v>
      </c>
      <c r="E1810" t="s">
        <v>636</v>
      </c>
      <c r="F1810" t="s">
        <v>242</v>
      </c>
    </row>
    <row r="1811" spans="1:6" x14ac:dyDescent="0.2">
      <c r="A1811">
        <v>97657303</v>
      </c>
      <c r="B1811">
        <v>2015</v>
      </c>
      <c r="C1811">
        <v>16.1748633879781</v>
      </c>
      <c r="D1811" t="s">
        <v>635</v>
      </c>
      <c r="E1811" t="s">
        <v>636</v>
      </c>
      <c r="F1811" t="s">
        <v>242</v>
      </c>
    </row>
    <row r="1812" spans="1:6" x14ac:dyDescent="0.2">
      <c r="A1812">
        <v>16796251</v>
      </c>
      <c r="B1812">
        <v>2019</v>
      </c>
      <c r="C1812">
        <v>29.475201845444101</v>
      </c>
      <c r="D1812" t="s">
        <v>937</v>
      </c>
      <c r="E1812" t="s">
        <v>938</v>
      </c>
      <c r="F1812" t="s">
        <v>263</v>
      </c>
    </row>
    <row r="1813" spans="1:6" x14ac:dyDescent="0.2">
      <c r="A1813">
        <v>98930485</v>
      </c>
      <c r="B1813">
        <v>2020</v>
      </c>
      <c r="C1813">
        <v>13.897271946669701</v>
      </c>
      <c r="D1813" t="s">
        <v>662</v>
      </c>
      <c r="E1813" t="s">
        <v>663</v>
      </c>
      <c r="F1813" t="s">
        <v>42</v>
      </c>
    </row>
    <row r="1814" spans="1:6" x14ac:dyDescent="0.2">
      <c r="A1814">
        <v>98930485</v>
      </c>
      <c r="B1814">
        <v>2019</v>
      </c>
      <c r="C1814">
        <v>14.123506262725099</v>
      </c>
      <c r="D1814" t="s">
        <v>662</v>
      </c>
      <c r="E1814" t="s">
        <v>663</v>
      </c>
      <c r="F1814" t="s">
        <v>42</v>
      </c>
    </row>
    <row r="1815" spans="1:6" x14ac:dyDescent="0.2">
      <c r="A1815">
        <v>98930485</v>
      </c>
      <c r="B1815">
        <v>2018</v>
      </c>
      <c r="C1815">
        <v>14.058105128301699</v>
      </c>
      <c r="D1815" t="s">
        <v>662</v>
      </c>
      <c r="E1815" t="s">
        <v>663</v>
      </c>
      <c r="F1815" t="s">
        <v>42</v>
      </c>
    </row>
    <row r="1816" spans="1:6" x14ac:dyDescent="0.2">
      <c r="A1816">
        <v>98930485</v>
      </c>
      <c r="B1816">
        <v>2017</v>
      </c>
      <c r="C1816">
        <v>13.432277876376601</v>
      </c>
      <c r="D1816" t="s">
        <v>662</v>
      </c>
      <c r="E1816" t="s">
        <v>663</v>
      </c>
      <c r="F1816" t="s">
        <v>42</v>
      </c>
    </row>
    <row r="1817" spans="1:6" x14ac:dyDescent="0.2">
      <c r="A1817">
        <v>98930485</v>
      </c>
      <c r="B1817">
        <v>2016</v>
      </c>
      <c r="C1817">
        <v>12.3822569551933</v>
      </c>
      <c r="D1817" t="s">
        <v>662</v>
      </c>
      <c r="E1817" t="s">
        <v>663</v>
      </c>
      <c r="F1817" t="s">
        <v>42</v>
      </c>
    </row>
    <row r="1818" spans="1:6" x14ac:dyDescent="0.2">
      <c r="A1818">
        <v>98930485</v>
      </c>
      <c r="B1818">
        <v>2015</v>
      </c>
      <c r="C1818">
        <v>12.6916280976865</v>
      </c>
      <c r="D1818" t="s">
        <v>662</v>
      </c>
      <c r="E1818" t="s">
        <v>663</v>
      </c>
      <c r="F1818" t="s">
        <v>42</v>
      </c>
    </row>
    <row r="1819" spans="1:6" x14ac:dyDescent="0.2">
      <c r="A1819">
        <v>98930485</v>
      </c>
      <c r="B1819">
        <v>2014</v>
      </c>
      <c r="C1819">
        <v>16.383458399442201</v>
      </c>
      <c r="D1819" t="s">
        <v>662</v>
      </c>
      <c r="E1819" t="s">
        <v>663</v>
      </c>
      <c r="F1819" t="s">
        <v>42</v>
      </c>
    </row>
    <row r="1820" spans="1:6" x14ac:dyDescent="0.2">
      <c r="A1820">
        <v>98930485</v>
      </c>
      <c r="B1820">
        <v>2013</v>
      </c>
      <c r="C1820">
        <v>15.7587093757307</v>
      </c>
      <c r="D1820" t="s">
        <v>662</v>
      </c>
      <c r="E1820" t="s">
        <v>663</v>
      </c>
      <c r="F1820" t="s">
        <v>42</v>
      </c>
    </row>
    <row r="1821" spans="1:6" x14ac:dyDescent="0.2">
      <c r="A1821">
        <v>98930485</v>
      </c>
      <c r="B1821">
        <v>2012</v>
      </c>
      <c r="C1821">
        <v>14.5076674737692</v>
      </c>
      <c r="D1821" t="s">
        <v>662</v>
      </c>
      <c r="E1821" t="s">
        <v>663</v>
      </c>
      <c r="F1821" t="s">
        <v>42</v>
      </c>
    </row>
    <row r="1822" spans="1:6" x14ac:dyDescent="0.2">
      <c r="A1822">
        <v>98930485</v>
      </c>
      <c r="B1822">
        <v>2011</v>
      </c>
      <c r="C1822">
        <v>21.400132714001298</v>
      </c>
      <c r="D1822" t="s">
        <v>662</v>
      </c>
      <c r="E1822" t="s">
        <v>663</v>
      </c>
      <c r="F1822" t="s">
        <v>42</v>
      </c>
    </row>
    <row r="1823" spans="1:6" x14ac:dyDescent="0.2">
      <c r="A1823">
        <v>95638445</v>
      </c>
      <c r="B1823">
        <v>2020</v>
      </c>
      <c r="C1823">
        <v>7.5883608625214398</v>
      </c>
      <c r="D1823" t="s">
        <v>389</v>
      </c>
      <c r="E1823" t="s">
        <v>390</v>
      </c>
      <c r="F1823" t="s">
        <v>94</v>
      </c>
    </row>
    <row r="1824" spans="1:6" x14ac:dyDescent="0.2">
      <c r="A1824">
        <v>95638445</v>
      </c>
      <c r="B1824">
        <v>2019</v>
      </c>
      <c r="C1824">
        <v>7.6364325031003899</v>
      </c>
      <c r="D1824" t="s">
        <v>389</v>
      </c>
      <c r="E1824" t="s">
        <v>390</v>
      </c>
      <c r="F1824" t="s">
        <v>94</v>
      </c>
    </row>
    <row r="1825" spans="1:6" x14ac:dyDescent="0.2">
      <c r="A1825">
        <v>95638445</v>
      </c>
      <c r="B1825">
        <v>2018</v>
      </c>
      <c r="C1825">
        <v>8.2707816948742199</v>
      </c>
      <c r="D1825" t="s">
        <v>389</v>
      </c>
      <c r="E1825" t="s">
        <v>390</v>
      </c>
      <c r="F1825" t="s">
        <v>94</v>
      </c>
    </row>
    <row r="1826" spans="1:6" x14ac:dyDescent="0.2">
      <c r="A1826">
        <v>95638445</v>
      </c>
      <c r="B1826">
        <v>2017</v>
      </c>
      <c r="C1826">
        <v>8.5528383246645703</v>
      </c>
      <c r="D1826" t="s">
        <v>389</v>
      </c>
      <c r="E1826" t="s">
        <v>390</v>
      </c>
      <c r="F1826" t="s">
        <v>94</v>
      </c>
    </row>
    <row r="1827" spans="1:6" x14ac:dyDescent="0.2">
      <c r="A1827">
        <v>95638445</v>
      </c>
      <c r="B1827">
        <v>2016</v>
      </c>
      <c r="C1827">
        <v>5.7210651154553602</v>
      </c>
      <c r="D1827" t="s">
        <v>389</v>
      </c>
      <c r="E1827" t="s">
        <v>390</v>
      </c>
      <c r="F1827" t="s">
        <v>94</v>
      </c>
    </row>
    <row r="1828" spans="1:6" x14ac:dyDescent="0.2">
      <c r="A1828">
        <v>86012742</v>
      </c>
      <c r="B1828">
        <v>2020</v>
      </c>
      <c r="C1828">
        <v>4.70411809902311</v>
      </c>
      <c r="D1828" t="s">
        <v>116</v>
      </c>
      <c r="E1828" t="s">
        <v>117</v>
      </c>
      <c r="F1828" t="s">
        <v>94</v>
      </c>
    </row>
    <row r="1829" spans="1:6" x14ac:dyDescent="0.2">
      <c r="A1829">
        <v>86012742</v>
      </c>
      <c r="B1829">
        <v>2019</v>
      </c>
      <c r="C1829">
        <v>7.3818847529970402</v>
      </c>
      <c r="D1829" t="s">
        <v>116</v>
      </c>
      <c r="E1829" t="s">
        <v>117</v>
      </c>
      <c r="F1829" t="s">
        <v>94</v>
      </c>
    </row>
    <row r="1830" spans="1:6" x14ac:dyDescent="0.2">
      <c r="A1830">
        <v>86012742</v>
      </c>
      <c r="B1830">
        <v>2018</v>
      </c>
      <c r="C1830">
        <v>7.3833058647237904</v>
      </c>
      <c r="D1830" t="s">
        <v>116</v>
      </c>
      <c r="E1830" t="s">
        <v>117</v>
      </c>
      <c r="F1830" t="s">
        <v>94</v>
      </c>
    </row>
    <row r="1831" spans="1:6" x14ac:dyDescent="0.2">
      <c r="A1831">
        <v>39270829</v>
      </c>
      <c r="B1831">
        <v>2020</v>
      </c>
      <c r="C1831">
        <v>28.245213968215602</v>
      </c>
      <c r="D1831" t="s">
        <v>262</v>
      </c>
      <c r="E1831"/>
      <c r="F1831" t="s">
        <v>263</v>
      </c>
    </row>
    <row r="1832" spans="1:6" x14ac:dyDescent="0.2">
      <c r="A1832">
        <v>39270829</v>
      </c>
      <c r="B1832">
        <v>2019</v>
      </c>
      <c r="C1832">
        <v>28.747356425593399</v>
      </c>
      <c r="D1832" t="s">
        <v>262</v>
      </c>
      <c r="E1832"/>
      <c r="F1832" t="s">
        <v>263</v>
      </c>
    </row>
    <row r="1833" spans="1:6" x14ac:dyDescent="0.2">
      <c r="A1833">
        <v>39270829</v>
      </c>
      <c r="B1833">
        <v>2018</v>
      </c>
      <c r="C1833">
        <v>37.477417319566598</v>
      </c>
      <c r="D1833" t="s">
        <v>262</v>
      </c>
      <c r="E1833"/>
      <c r="F1833" t="s">
        <v>263</v>
      </c>
    </row>
    <row r="1834" spans="1:6" x14ac:dyDescent="0.2">
      <c r="A1834">
        <v>39270829</v>
      </c>
      <c r="B1834">
        <v>2017</v>
      </c>
      <c r="C1834">
        <v>39.9765533411489</v>
      </c>
      <c r="D1834" t="s">
        <v>262</v>
      </c>
      <c r="E1834"/>
      <c r="F1834" t="s">
        <v>263</v>
      </c>
    </row>
    <row r="1835" spans="1:6" x14ac:dyDescent="0.2">
      <c r="A1835">
        <v>39270829</v>
      </c>
      <c r="B1835">
        <v>2016</v>
      </c>
      <c r="C1835">
        <v>40.288492410652502</v>
      </c>
      <c r="D1835" t="s">
        <v>262</v>
      </c>
      <c r="E1835"/>
      <c r="F1835" t="s">
        <v>263</v>
      </c>
    </row>
    <row r="1836" spans="1:6" x14ac:dyDescent="0.2">
      <c r="A1836">
        <v>39270829</v>
      </c>
      <c r="B1836">
        <v>2015</v>
      </c>
      <c r="C1836">
        <v>43.437589002410803</v>
      </c>
      <c r="D1836" t="s">
        <v>262</v>
      </c>
      <c r="E1836"/>
      <c r="F1836" t="s">
        <v>263</v>
      </c>
    </row>
    <row r="1837" spans="1:6" x14ac:dyDescent="0.2">
      <c r="A1837">
        <v>39270829</v>
      </c>
      <c r="B1837">
        <v>2014</v>
      </c>
      <c r="C1837">
        <v>44.463954841211702</v>
      </c>
      <c r="D1837" t="s">
        <v>262</v>
      </c>
      <c r="E1837"/>
      <c r="F1837" t="s">
        <v>263</v>
      </c>
    </row>
    <row r="1838" spans="1:6" x14ac:dyDescent="0.2">
      <c r="A1838">
        <v>39270829</v>
      </c>
      <c r="B1838">
        <v>2013</v>
      </c>
      <c r="C1838">
        <v>46.021303258145402</v>
      </c>
      <c r="D1838" t="s">
        <v>262</v>
      </c>
      <c r="E1838"/>
      <c r="F1838" t="s">
        <v>263</v>
      </c>
    </row>
    <row r="1839" spans="1:6" x14ac:dyDescent="0.2">
      <c r="A1839">
        <v>39270829</v>
      </c>
      <c r="B1839">
        <v>2012</v>
      </c>
      <c r="C1839">
        <v>47.421383647798699</v>
      </c>
      <c r="D1839" t="s">
        <v>262</v>
      </c>
      <c r="E1839"/>
      <c r="F1839" t="s">
        <v>263</v>
      </c>
    </row>
    <row r="1840" spans="1:6" x14ac:dyDescent="0.2">
      <c r="A1840">
        <v>39270829</v>
      </c>
      <c r="B1840">
        <v>2011</v>
      </c>
      <c r="C1840">
        <v>48.625</v>
      </c>
      <c r="D1840" t="s">
        <v>262</v>
      </c>
      <c r="E1840"/>
      <c r="F1840" t="s">
        <v>263</v>
      </c>
    </row>
    <row r="1841" spans="1:6" x14ac:dyDescent="0.2">
      <c r="A1841">
        <v>39270829</v>
      </c>
      <c r="B1841">
        <v>2010</v>
      </c>
      <c r="C1841">
        <v>38.343558282208598</v>
      </c>
      <c r="D1841" t="s">
        <v>262</v>
      </c>
      <c r="E1841"/>
      <c r="F1841" t="s">
        <v>263</v>
      </c>
    </row>
    <row r="1842" spans="1:6" x14ac:dyDescent="0.2">
      <c r="A1842">
        <v>87915852</v>
      </c>
      <c r="B1842">
        <v>2016</v>
      </c>
      <c r="C1842">
        <v>32.563647128478401</v>
      </c>
      <c r="D1842" t="s">
        <v>1038</v>
      </c>
      <c r="E1842" t="s">
        <v>1039</v>
      </c>
      <c r="F1842" t="s">
        <v>263</v>
      </c>
    </row>
    <row r="1843" spans="1:6" x14ac:dyDescent="0.2">
      <c r="A1843">
        <v>87915852</v>
      </c>
      <c r="B1843">
        <v>2013</v>
      </c>
      <c r="C1843">
        <v>51.535087719298197</v>
      </c>
      <c r="D1843" t="s">
        <v>1038</v>
      </c>
      <c r="E1843" t="s">
        <v>1039</v>
      </c>
      <c r="F1843" t="s">
        <v>263</v>
      </c>
    </row>
    <row r="1844" spans="1:6" x14ac:dyDescent="0.2">
      <c r="A1844">
        <v>20485024</v>
      </c>
      <c r="B1844">
        <v>2020</v>
      </c>
      <c r="C1844">
        <v>22.040382422846299</v>
      </c>
      <c r="D1844" t="s">
        <v>690</v>
      </c>
      <c r="E1844"/>
      <c r="F1844" t="s">
        <v>691</v>
      </c>
    </row>
    <row r="1845" spans="1:6" x14ac:dyDescent="0.2">
      <c r="A1845">
        <v>20485024</v>
      </c>
      <c r="B1845">
        <v>2019</v>
      </c>
      <c r="C1845">
        <v>24.002852401099499</v>
      </c>
      <c r="D1845" t="s">
        <v>690</v>
      </c>
      <c r="E1845"/>
      <c r="F1845" t="s">
        <v>691</v>
      </c>
    </row>
    <row r="1846" spans="1:6" x14ac:dyDescent="0.2">
      <c r="A1846">
        <v>20485024</v>
      </c>
      <c r="B1846">
        <v>2018</v>
      </c>
      <c r="C1846">
        <v>27.3959716069728</v>
      </c>
      <c r="D1846" t="s">
        <v>690</v>
      </c>
      <c r="E1846"/>
      <c r="F1846" t="s">
        <v>691</v>
      </c>
    </row>
    <row r="1847" spans="1:6" x14ac:dyDescent="0.2">
      <c r="A1847">
        <v>20485024</v>
      </c>
      <c r="B1847">
        <v>2016</v>
      </c>
      <c r="C1847">
        <v>42.607348384240801</v>
      </c>
      <c r="D1847" t="s">
        <v>690</v>
      </c>
      <c r="E1847"/>
      <c r="F1847" t="s">
        <v>691</v>
      </c>
    </row>
    <row r="1848" spans="1:6" x14ac:dyDescent="0.2">
      <c r="A1848">
        <v>20485024</v>
      </c>
      <c r="B1848">
        <v>2015</v>
      </c>
      <c r="C1848">
        <v>55.486798679868002</v>
      </c>
      <c r="D1848" t="s">
        <v>690</v>
      </c>
      <c r="E1848"/>
      <c r="F1848" t="s">
        <v>691</v>
      </c>
    </row>
    <row r="1849" spans="1:6" x14ac:dyDescent="0.2">
      <c r="A1849">
        <v>20485024</v>
      </c>
      <c r="B1849">
        <v>2013</v>
      </c>
      <c r="C1849">
        <v>66.6666666666667</v>
      </c>
      <c r="D1849" t="s">
        <v>690</v>
      </c>
      <c r="E1849"/>
      <c r="F1849" t="s">
        <v>691</v>
      </c>
    </row>
    <row r="1850" spans="1:6" x14ac:dyDescent="0.2">
      <c r="A1850">
        <v>46151865</v>
      </c>
      <c r="B1850">
        <v>2020</v>
      </c>
      <c r="C1850">
        <v>49.686603671959702</v>
      </c>
      <c r="D1850" t="s">
        <v>186</v>
      </c>
      <c r="E1850" t="s">
        <v>187</v>
      </c>
      <c r="F1850" t="s">
        <v>188</v>
      </c>
    </row>
    <row r="1851" spans="1:6" x14ac:dyDescent="0.2">
      <c r="A1851">
        <v>46151865</v>
      </c>
      <c r="B1851">
        <v>2019</v>
      </c>
      <c r="C1851">
        <v>43.679115655873801</v>
      </c>
      <c r="D1851" t="s">
        <v>186</v>
      </c>
      <c r="E1851" t="s">
        <v>187</v>
      </c>
      <c r="F1851" t="s">
        <v>188</v>
      </c>
    </row>
    <row r="1852" spans="1:6" x14ac:dyDescent="0.2">
      <c r="A1852">
        <v>46151865</v>
      </c>
      <c r="B1852">
        <v>2018</v>
      </c>
      <c r="C1852">
        <v>43.105322265701503</v>
      </c>
      <c r="D1852" t="s">
        <v>186</v>
      </c>
      <c r="E1852" t="s">
        <v>187</v>
      </c>
      <c r="F1852" t="s">
        <v>188</v>
      </c>
    </row>
    <row r="1853" spans="1:6" x14ac:dyDescent="0.2">
      <c r="A1853">
        <v>87428808</v>
      </c>
      <c r="B1853">
        <v>2019</v>
      </c>
      <c r="C1853">
        <v>40.296236631315203</v>
      </c>
      <c r="D1853" t="s">
        <v>788</v>
      </c>
      <c r="E1853" t="s">
        <v>789</v>
      </c>
      <c r="F1853" t="s">
        <v>181</v>
      </c>
    </row>
    <row r="1854" spans="1:6" x14ac:dyDescent="0.2">
      <c r="A1854">
        <v>73410849</v>
      </c>
      <c r="B1854">
        <v>2020</v>
      </c>
      <c r="C1854">
        <v>40.9530708081518</v>
      </c>
      <c r="D1854" t="s">
        <v>497</v>
      </c>
      <c r="E1854" t="s">
        <v>497</v>
      </c>
      <c r="F1854" t="s">
        <v>498</v>
      </c>
    </row>
    <row r="1855" spans="1:6" x14ac:dyDescent="0.2">
      <c r="A1855">
        <v>73410849</v>
      </c>
      <c r="B1855">
        <v>2019</v>
      </c>
      <c r="C1855">
        <v>45.238095238095198</v>
      </c>
      <c r="D1855" t="s">
        <v>497</v>
      </c>
      <c r="E1855" t="s">
        <v>497</v>
      </c>
      <c r="F1855" t="s">
        <v>498</v>
      </c>
    </row>
    <row r="1856" spans="1:6" x14ac:dyDescent="0.2">
      <c r="A1856">
        <v>73410849</v>
      </c>
      <c r="B1856">
        <v>2018</v>
      </c>
      <c r="C1856">
        <v>41.500363320945397</v>
      </c>
      <c r="D1856" t="s">
        <v>497</v>
      </c>
      <c r="E1856" t="s">
        <v>497</v>
      </c>
      <c r="F1856" t="s">
        <v>498</v>
      </c>
    </row>
    <row r="1857" spans="1:6" x14ac:dyDescent="0.2">
      <c r="A1857">
        <v>73410849</v>
      </c>
      <c r="B1857">
        <v>2016</v>
      </c>
      <c r="C1857">
        <v>77.646033594347998</v>
      </c>
      <c r="D1857" t="s">
        <v>497</v>
      </c>
      <c r="E1857" t="s">
        <v>497</v>
      </c>
      <c r="F1857" t="s">
        <v>498</v>
      </c>
    </row>
    <row r="1858" spans="1:6" x14ac:dyDescent="0.2">
      <c r="A1858">
        <v>73410849</v>
      </c>
      <c r="B1858">
        <v>2015</v>
      </c>
      <c r="C1858">
        <v>72.008708029808304</v>
      </c>
      <c r="D1858" t="s">
        <v>497</v>
      </c>
      <c r="E1858" t="s">
        <v>497</v>
      </c>
      <c r="F1858" t="s">
        <v>498</v>
      </c>
    </row>
    <row r="1859" spans="1:6" x14ac:dyDescent="0.2">
      <c r="A1859">
        <v>73410849</v>
      </c>
      <c r="B1859">
        <v>2013</v>
      </c>
      <c r="C1859">
        <v>79.1156157119336</v>
      </c>
      <c r="D1859" t="s">
        <v>497</v>
      </c>
      <c r="E1859" t="s">
        <v>497</v>
      </c>
      <c r="F1859" t="s">
        <v>498</v>
      </c>
    </row>
    <row r="1860" spans="1:6" x14ac:dyDescent="0.2">
      <c r="A1860">
        <v>73410849</v>
      </c>
      <c r="B1860">
        <v>2012</v>
      </c>
      <c r="C1860">
        <v>91.6666666666667</v>
      </c>
      <c r="D1860" t="s">
        <v>497</v>
      </c>
      <c r="E1860" t="s">
        <v>497</v>
      </c>
      <c r="F1860" t="s">
        <v>498</v>
      </c>
    </row>
    <row r="1861" spans="1:6" x14ac:dyDescent="0.2">
      <c r="A1861">
        <v>99370904</v>
      </c>
      <c r="B1861">
        <v>2020</v>
      </c>
      <c r="C1861">
        <v>18.856418320541501</v>
      </c>
      <c r="D1861" t="s">
        <v>546</v>
      </c>
      <c r="E1861" t="s">
        <v>547</v>
      </c>
      <c r="F1861" t="s">
        <v>170</v>
      </c>
    </row>
    <row r="1862" spans="1:6" x14ac:dyDescent="0.2">
      <c r="A1862">
        <v>99370904</v>
      </c>
      <c r="B1862">
        <v>2019</v>
      </c>
      <c r="C1862">
        <v>22.181309885682399</v>
      </c>
      <c r="D1862" t="s">
        <v>546</v>
      </c>
      <c r="E1862" t="s">
        <v>547</v>
      </c>
      <c r="F1862" t="s">
        <v>170</v>
      </c>
    </row>
    <row r="1863" spans="1:6" x14ac:dyDescent="0.2">
      <c r="A1863">
        <v>99370904</v>
      </c>
      <c r="B1863">
        <v>2018</v>
      </c>
      <c r="C1863">
        <v>25.8316371608712</v>
      </c>
      <c r="D1863" t="s">
        <v>546</v>
      </c>
      <c r="E1863" t="s">
        <v>547</v>
      </c>
      <c r="F1863" t="s">
        <v>170</v>
      </c>
    </row>
    <row r="1864" spans="1:6" x14ac:dyDescent="0.2">
      <c r="A1864">
        <v>99370904</v>
      </c>
      <c r="B1864">
        <v>2017</v>
      </c>
      <c r="C1864">
        <v>24.625667076577798</v>
      </c>
      <c r="D1864" t="s">
        <v>546</v>
      </c>
      <c r="E1864" t="s">
        <v>547</v>
      </c>
      <c r="F1864" t="s">
        <v>170</v>
      </c>
    </row>
    <row r="1865" spans="1:6" x14ac:dyDescent="0.2">
      <c r="A1865">
        <v>99370904</v>
      </c>
      <c r="B1865">
        <v>2016</v>
      </c>
      <c r="C1865">
        <v>33.201282776834603</v>
      </c>
      <c r="D1865" t="s">
        <v>546</v>
      </c>
      <c r="E1865" t="s">
        <v>547</v>
      </c>
      <c r="F1865" t="s">
        <v>170</v>
      </c>
    </row>
    <row r="1866" spans="1:6" x14ac:dyDescent="0.2">
      <c r="A1866">
        <v>99370904</v>
      </c>
      <c r="B1866">
        <v>2015</v>
      </c>
      <c r="C1866">
        <v>27.727339647641902</v>
      </c>
      <c r="D1866" t="s">
        <v>546</v>
      </c>
      <c r="E1866" t="s">
        <v>547</v>
      </c>
      <c r="F1866" t="s">
        <v>170</v>
      </c>
    </row>
    <row r="1867" spans="1:6" x14ac:dyDescent="0.2">
      <c r="A1867">
        <v>99370904</v>
      </c>
      <c r="B1867">
        <v>2014</v>
      </c>
      <c r="C1867">
        <v>29.0702982349361</v>
      </c>
      <c r="D1867" t="s">
        <v>546</v>
      </c>
      <c r="E1867" t="s">
        <v>547</v>
      </c>
      <c r="F1867" t="s">
        <v>170</v>
      </c>
    </row>
    <row r="1868" spans="1:6" x14ac:dyDescent="0.2">
      <c r="A1868">
        <v>99370904</v>
      </c>
      <c r="B1868">
        <v>2013</v>
      </c>
      <c r="C1868">
        <v>26.217355541846601</v>
      </c>
      <c r="D1868" t="s">
        <v>546</v>
      </c>
      <c r="E1868" t="s">
        <v>547</v>
      </c>
      <c r="F1868" t="s">
        <v>170</v>
      </c>
    </row>
    <row r="1869" spans="1:6" x14ac:dyDescent="0.2">
      <c r="A1869">
        <v>99370904</v>
      </c>
      <c r="B1869">
        <v>2012</v>
      </c>
      <c r="C1869">
        <v>31.083267181448601</v>
      </c>
      <c r="D1869" t="s">
        <v>546</v>
      </c>
      <c r="E1869" t="s">
        <v>547</v>
      </c>
      <c r="F1869" t="s">
        <v>170</v>
      </c>
    </row>
    <row r="1870" spans="1:6" x14ac:dyDescent="0.2">
      <c r="A1870">
        <v>99370904</v>
      </c>
      <c r="B1870">
        <v>2011</v>
      </c>
      <c r="C1870">
        <v>28.3333333333333</v>
      </c>
      <c r="D1870" t="s">
        <v>546</v>
      </c>
      <c r="E1870" t="s">
        <v>547</v>
      </c>
      <c r="F1870" t="s">
        <v>170</v>
      </c>
    </row>
    <row r="1871" spans="1:6" x14ac:dyDescent="0.2">
      <c r="A1871">
        <v>61847701</v>
      </c>
      <c r="B1871">
        <v>2020</v>
      </c>
      <c r="C1871">
        <v>67.199993006829999</v>
      </c>
      <c r="D1871" t="s">
        <v>1095</v>
      </c>
      <c r="E1871" t="s">
        <v>298</v>
      </c>
      <c r="F1871" t="s">
        <v>33</v>
      </c>
    </row>
    <row r="1872" spans="1:6" x14ac:dyDescent="0.2">
      <c r="A1872">
        <v>12940211</v>
      </c>
      <c r="B1872">
        <v>2020</v>
      </c>
      <c r="C1872">
        <v>50.101650682384502</v>
      </c>
      <c r="D1872" t="s">
        <v>988</v>
      </c>
      <c r="E1872" t="s">
        <v>989</v>
      </c>
      <c r="F1872" t="s">
        <v>990</v>
      </c>
    </row>
    <row r="1873" spans="1:6" x14ac:dyDescent="0.2">
      <c r="A1873">
        <v>12940211</v>
      </c>
      <c r="B1873">
        <v>2018</v>
      </c>
      <c r="C1873">
        <v>43.8709175133326</v>
      </c>
      <c r="D1873" t="s">
        <v>988</v>
      </c>
      <c r="E1873" t="s">
        <v>989</v>
      </c>
      <c r="F1873" t="s">
        <v>990</v>
      </c>
    </row>
    <row r="1874" spans="1:6" x14ac:dyDescent="0.2">
      <c r="A1874">
        <v>12940211</v>
      </c>
      <c r="B1874">
        <v>2017</v>
      </c>
      <c r="C1874">
        <v>41.437527989252096</v>
      </c>
      <c r="D1874" t="s">
        <v>988</v>
      </c>
      <c r="E1874" t="s">
        <v>989</v>
      </c>
      <c r="F1874" t="s">
        <v>990</v>
      </c>
    </row>
    <row r="1875" spans="1:6" x14ac:dyDescent="0.2">
      <c r="A1875">
        <v>28379535</v>
      </c>
      <c r="B1875">
        <v>2018</v>
      </c>
      <c r="C1875">
        <v>37.216596319714398</v>
      </c>
      <c r="D1875" t="s">
        <v>1110</v>
      </c>
      <c r="E1875" t="s">
        <v>1111</v>
      </c>
      <c r="F1875" t="s">
        <v>191</v>
      </c>
    </row>
    <row r="1876" spans="1:6" x14ac:dyDescent="0.2">
      <c r="A1876">
        <v>28379535</v>
      </c>
      <c r="B1876">
        <v>2017</v>
      </c>
      <c r="C1876">
        <v>44.568219137184698</v>
      </c>
      <c r="D1876" t="s">
        <v>1110</v>
      </c>
      <c r="E1876" t="s">
        <v>1111</v>
      </c>
      <c r="F1876" t="s">
        <v>191</v>
      </c>
    </row>
    <row r="1877" spans="1:6" x14ac:dyDescent="0.2">
      <c r="A1877">
        <v>28379535</v>
      </c>
      <c r="B1877">
        <v>2015</v>
      </c>
      <c r="C1877">
        <v>30.601092896174901</v>
      </c>
      <c r="D1877" t="s">
        <v>1110</v>
      </c>
      <c r="E1877" t="s">
        <v>1111</v>
      </c>
      <c r="F1877" t="s">
        <v>191</v>
      </c>
    </row>
    <row r="1878" spans="1:6" x14ac:dyDescent="0.2">
      <c r="A1878">
        <v>34351776</v>
      </c>
      <c r="B1878">
        <v>2020</v>
      </c>
      <c r="C1878">
        <v>76.09</v>
      </c>
      <c r="D1878" t="s">
        <v>623</v>
      </c>
      <c r="E1878" t="s">
        <v>624</v>
      </c>
      <c r="F1878" t="s">
        <v>1126</v>
      </c>
    </row>
    <row r="1879" spans="1:6" x14ac:dyDescent="0.2">
      <c r="A1879">
        <v>34351776</v>
      </c>
      <c r="B1879">
        <v>2019</v>
      </c>
      <c r="C1879">
        <v>71.797169811320799</v>
      </c>
      <c r="D1879" t="s">
        <v>623</v>
      </c>
      <c r="E1879" t="s">
        <v>624</v>
      </c>
      <c r="F1879" t="s">
        <v>1126</v>
      </c>
    </row>
    <row r="1880" spans="1:6" x14ac:dyDescent="0.2">
      <c r="A1880">
        <v>34351776</v>
      </c>
      <c r="B1880">
        <v>2018</v>
      </c>
      <c r="C1880">
        <v>64.583962264150898</v>
      </c>
      <c r="D1880" t="s">
        <v>623</v>
      </c>
      <c r="E1880" t="s">
        <v>624</v>
      </c>
      <c r="F1880" t="s">
        <v>1126</v>
      </c>
    </row>
    <row r="1881" spans="1:6" x14ac:dyDescent="0.2">
      <c r="A1881">
        <v>34351776</v>
      </c>
      <c r="B1881">
        <v>2017</v>
      </c>
      <c r="C1881">
        <v>59.466666666666697</v>
      </c>
      <c r="D1881" t="s">
        <v>623</v>
      </c>
      <c r="E1881" t="s">
        <v>624</v>
      </c>
      <c r="F1881" t="s">
        <v>1126</v>
      </c>
    </row>
    <row r="1882" spans="1:6" x14ac:dyDescent="0.2">
      <c r="A1882">
        <v>34351776</v>
      </c>
      <c r="B1882">
        <v>2016</v>
      </c>
      <c r="C1882">
        <v>55.2496875</v>
      </c>
      <c r="D1882" t="s">
        <v>623</v>
      </c>
      <c r="E1882" t="s">
        <v>624</v>
      </c>
      <c r="F1882" t="s">
        <v>1126</v>
      </c>
    </row>
    <row r="1883" spans="1:6" x14ac:dyDescent="0.2">
      <c r="A1883">
        <v>34351776</v>
      </c>
      <c r="B1883">
        <v>2015</v>
      </c>
      <c r="C1883">
        <v>49.099499999999999</v>
      </c>
      <c r="D1883" t="s">
        <v>623</v>
      </c>
      <c r="E1883" t="s">
        <v>624</v>
      </c>
      <c r="F1883" t="s">
        <v>1126</v>
      </c>
    </row>
    <row r="1884" spans="1:6" x14ac:dyDescent="0.2">
      <c r="A1884">
        <v>34351776</v>
      </c>
      <c r="B1884">
        <v>2014</v>
      </c>
      <c r="C1884">
        <v>41.6666666666667</v>
      </c>
      <c r="D1884" t="s">
        <v>623</v>
      </c>
      <c r="E1884" t="s">
        <v>624</v>
      </c>
      <c r="F1884" t="s">
        <v>1126</v>
      </c>
    </row>
    <row r="1885" spans="1:6" x14ac:dyDescent="0.2">
      <c r="A1885">
        <v>34351776</v>
      </c>
      <c r="B1885">
        <v>2013</v>
      </c>
      <c r="C1885">
        <v>50</v>
      </c>
      <c r="D1885" t="s">
        <v>623</v>
      </c>
      <c r="E1885" t="s">
        <v>624</v>
      </c>
      <c r="F1885" t="s">
        <v>1126</v>
      </c>
    </row>
    <row r="1886" spans="1:6" x14ac:dyDescent="0.2">
      <c r="A1886">
        <v>34351776</v>
      </c>
      <c r="B1886">
        <v>2012</v>
      </c>
      <c r="C1886">
        <v>37.994999999999997</v>
      </c>
      <c r="D1886" t="s">
        <v>623</v>
      </c>
      <c r="E1886" t="s">
        <v>624</v>
      </c>
      <c r="F1886" t="s">
        <v>1126</v>
      </c>
    </row>
    <row r="1887" spans="1:6" x14ac:dyDescent="0.2">
      <c r="A1887">
        <v>34351776</v>
      </c>
      <c r="B1887">
        <v>2011</v>
      </c>
      <c r="C1887">
        <v>30</v>
      </c>
      <c r="D1887" t="s">
        <v>623</v>
      </c>
      <c r="E1887" t="s">
        <v>624</v>
      </c>
      <c r="F1887" t="s">
        <v>1126</v>
      </c>
    </row>
    <row r="1888" spans="1:6" x14ac:dyDescent="0.2">
      <c r="A1888">
        <v>34351776</v>
      </c>
      <c r="B1888">
        <v>2010</v>
      </c>
      <c r="C1888">
        <v>21.6666666666667</v>
      </c>
      <c r="D1888" t="s">
        <v>623</v>
      </c>
      <c r="E1888" t="s">
        <v>624</v>
      </c>
      <c r="F1888" t="s">
        <v>1126</v>
      </c>
    </row>
    <row r="1889" spans="1:6" x14ac:dyDescent="0.2">
      <c r="A1889">
        <v>85181965</v>
      </c>
      <c r="B1889">
        <v>2020</v>
      </c>
      <c r="C1889">
        <v>63.092720277063499</v>
      </c>
      <c r="D1889" t="s">
        <v>96</v>
      </c>
      <c r="E1889" t="s">
        <v>97</v>
      </c>
      <c r="F1889" t="s">
        <v>11</v>
      </c>
    </row>
    <row r="1890" spans="1:6" x14ac:dyDescent="0.2">
      <c r="A1890">
        <v>85181965</v>
      </c>
      <c r="B1890">
        <v>2019</v>
      </c>
      <c r="C1890">
        <v>61.144960205793602</v>
      </c>
      <c r="D1890" t="s">
        <v>96</v>
      </c>
      <c r="E1890" t="s">
        <v>97</v>
      </c>
      <c r="F1890" t="s">
        <v>11</v>
      </c>
    </row>
    <row r="1891" spans="1:6" x14ac:dyDescent="0.2">
      <c r="A1891">
        <v>85181965</v>
      </c>
      <c r="B1891">
        <v>2018</v>
      </c>
      <c r="C1891">
        <v>60.021275010973802</v>
      </c>
      <c r="D1891" t="s">
        <v>96</v>
      </c>
      <c r="E1891" t="s">
        <v>97</v>
      </c>
      <c r="F1891" t="s">
        <v>11</v>
      </c>
    </row>
    <row r="1892" spans="1:6" x14ac:dyDescent="0.2">
      <c r="A1892">
        <v>85181965</v>
      </c>
      <c r="B1892">
        <v>2017</v>
      </c>
      <c r="C1892">
        <v>62.362848622390601</v>
      </c>
      <c r="D1892" t="s">
        <v>96</v>
      </c>
      <c r="E1892" t="s">
        <v>97</v>
      </c>
      <c r="F1892" t="s">
        <v>11</v>
      </c>
    </row>
    <row r="1893" spans="1:6" x14ac:dyDescent="0.2">
      <c r="A1893">
        <v>85181965</v>
      </c>
      <c r="B1893">
        <v>2016</v>
      </c>
      <c r="C1893">
        <v>53.900611409920501</v>
      </c>
      <c r="D1893" t="s">
        <v>96</v>
      </c>
      <c r="E1893" t="s">
        <v>97</v>
      </c>
      <c r="F1893" t="s">
        <v>11</v>
      </c>
    </row>
    <row r="1894" spans="1:6" x14ac:dyDescent="0.2">
      <c r="A1894">
        <v>85181965</v>
      </c>
      <c r="B1894">
        <v>2015</v>
      </c>
      <c r="C1894">
        <v>71.013069426607203</v>
      </c>
      <c r="D1894" t="s">
        <v>96</v>
      </c>
      <c r="E1894" t="s">
        <v>97</v>
      </c>
      <c r="F1894" t="s">
        <v>11</v>
      </c>
    </row>
    <row r="1895" spans="1:6" x14ac:dyDescent="0.2">
      <c r="A1895">
        <v>85181965</v>
      </c>
      <c r="B1895">
        <v>2013</v>
      </c>
      <c r="C1895">
        <v>40.625</v>
      </c>
      <c r="D1895" t="s">
        <v>96</v>
      </c>
      <c r="E1895" t="s">
        <v>97</v>
      </c>
      <c r="F1895" t="s">
        <v>11</v>
      </c>
    </row>
    <row r="1896" spans="1:6" x14ac:dyDescent="0.2">
      <c r="A1896">
        <v>85181965</v>
      </c>
      <c r="B1896">
        <v>2012</v>
      </c>
      <c r="C1896">
        <v>63.917525773195898</v>
      </c>
      <c r="D1896" t="s">
        <v>96</v>
      </c>
      <c r="E1896" t="s">
        <v>97</v>
      </c>
      <c r="F1896" t="s">
        <v>11</v>
      </c>
    </row>
    <row r="1897" spans="1:6" x14ac:dyDescent="0.2">
      <c r="A1897">
        <v>85181965</v>
      </c>
      <c r="B1897">
        <v>2011</v>
      </c>
      <c r="C1897">
        <v>52.941176470588204</v>
      </c>
      <c r="D1897" t="s">
        <v>96</v>
      </c>
      <c r="E1897" t="s">
        <v>97</v>
      </c>
      <c r="F1897" t="s">
        <v>11</v>
      </c>
    </row>
    <row r="1898" spans="1:6" x14ac:dyDescent="0.2">
      <c r="A1898">
        <v>55140143</v>
      </c>
      <c r="B1898">
        <v>2018</v>
      </c>
      <c r="C1898">
        <v>59.422429420430703</v>
      </c>
      <c r="D1898" t="s">
        <v>941</v>
      </c>
      <c r="E1898" t="s">
        <v>52</v>
      </c>
      <c r="F1898" t="s">
        <v>33</v>
      </c>
    </row>
    <row r="1899" spans="1:6" x14ac:dyDescent="0.2">
      <c r="A1899">
        <v>12640200</v>
      </c>
      <c r="B1899">
        <v>2020</v>
      </c>
      <c r="C1899">
        <v>37.147700495426498</v>
      </c>
      <c r="D1899" t="s">
        <v>729</v>
      </c>
      <c r="E1899" t="s">
        <v>18</v>
      </c>
      <c r="F1899" t="s">
        <v>19</v>
      </c>
    </row>
    <row r="1900" spans="1:6" x14ac:dyDescent="0.2">
      <c r="A1900">
        <v>12640200</v>
      </c>
      <c r="B1900">
        <v>2019</v>
      </c>
      <c r="C1900">
        <v>32.0188742837883</v>
      </c>
      <c r="D1900" t="s">
        <v>729</v>
      </c>
      <c r="E1900" t="s">
        <v>18</v>
      </c>
      <c r="F1900" t="s">
        <v>19</v>
      </c>
    </row>
    <row r="1901" spans="1:6" x14ac:dyDescent="0.2">
      <c r="A1901">
        <v>12640200</v>
      </c>
      <c r="B1901">
        <v>2018</v>
      </c>
      <c r="C1901">
        <v>46.298099233947298</v>
      </c>
      <c r="D1901" t="s">
        <v>729</v>
      </c>
      <c r="E1901" t="s">
        <v>18</v>
      </c>
      <c r="F1901" t="s">
        <v>19</v>
      </c>
    </row>
    <row r="1902" spans="1:6" x14ac:dyDescent="0.2">
      <c r="A1902">
        <v>12640200</v>
      </c>
      <c r="B1902">
        <v>2017</v>
      </c>
      <c r="C1902">
        <v>33.940320637568298</v>
      </c>
      <c r="D1902" t="s">
        <v>729</v>
      </c>
      <c r="E1902" t="s">
        <v>18</v>
      </c>
      <c r="F1902" t="s">
        <v>19</v>
      </c>
    </row>
    <row r="1903" spans="1:6" x14ac:dyDescent="0.2">
      <c r="A1903">
        <v>12640200</v>
      </c>
      <c r="B1903">
        <v>2016</v>
      </c>
      <c r="C1903">
        <v>31.3873926335711</v>
      </c>
      <c r="D1903" t="s">
        <v>729</v>
      </c>
      <c r="E1903" t="s">
        <v>18</v>
      </c>
      <c r="F1903" t="s">
        <v>19</v>
      </c>
    </row>
    <row r="1904" spans="1:6" x14ac:dyDescent="0.2">
      <c r="A1904">
        <v>12640200</v>
      </c>
      <c r="B1904">
        <v>2015</v>
      </c>
      <c r="C1904">
        <v>30.568644339734199</v>
      </c>
      <c r="D1904" t="s">
        <v>729</v>
      </c>
      <c r="E1904" t="s">
        <v>18</v>
      </c>
      <c r="F1904" t="s">
        <v>19</v>
      </c>
    </row>
    <row r="1905" spans="1:6" x14ac:dyDescent="0.2">
      <c r="A1905">
        <v>12640200</v>
      </c>
      <c r="B1905">
        <v>2014</v>
      </c>
      <c r="C1905">
        <v>35.169988276670601</v>
      </c>
      <c r="D1905" t="s">
        <v>729</v>
      </c>
      <c r="E1905" t="s">
        <v>18</v>
      </c>
      <c r="F1905" t="s">
        <v>19</v>
      </c>
    </row>
    <row r="1906" spans="1:6" x14ac:dyDescent="0.2">
      <c r="A1906">
        <v>12640200</v>
      </c>
      <c r="B1906">
        <v>2012</v>
      </c>
      <c r="C1906">
        <v>38.461538461538503</v>
      </c>
      <c r="D1906" t="s">
        <v>729</v>
      </c>
      <c r="E1906" t="s">
        <v>18</v>
      </c>
      <c r="F1906" t="s">
        <v>19</v>
      </c>
    </row>
    <row r="1907" spans="1:6" x14ac:dyDescent="0.2">
      <c r="A1907">
        <v>12640200</v>
      </c>
      <c r="B1907">
        <v>2010</v>
      </c>
      <c r="C1907">
        <v>14.5579710144928</v>
      </c>
      <c r="D1907" t="s">
        <v>729</v>
      </c>
      <c r="E1907" t="s">
        <v>18</v>
      </c>
      <c r="F1907" t="s">
        <v>19</v>
      </c>
    </row>
    <row r="1908" spans="1:6" x14ac:dyDescent="0.2">
      <c r="A1908">
        <v>75120926</v>
      </c>
      <c r="B1908">
        <v>2020</v>
      </c>
      <c r="C1908">
        <v>37.145223982060102</v>
      </c>
      <c r="D1908" t="s">
        <v>890</v>
      </c>
      <c r="E1908" t="s">
        <v>18</v>
      </c>
      <c r="F1908" t="s">
        <v>19</v>
      </c>
    </row>
    <row r="1909" spans="1:6" x14ac:dyDescent="0.2">
      <c r="A1909">
        <v>75120926</v>
      </c>
      <c r="B1909">
        <v>2019</v>
      </c>
      <c r="C1909">
        <v>30.3336703741153</v>
      </c>
      <c r="D1909" t="s">
        <v>890</v>
      </c>
      <c r="E1909" t="s">
        <v>18</v>
      </c>
      <c r="F1909" t="s">
        <v>19</v>
      </c>
    </row>
    <row r="1910" spans="1:6" x14ac:dyDescent="0.2">
      <c r="A1910">
        <v>75120926</v>
      </c>
      <c r="B1910">
        <v>2018</v>
      </c>
      <c r="C1910">
        <v>37.1349337605619</v>
      </c>
      <c r="D1910" t="s">
        <v>890</v>
      </c>
      <c r="E1910" t="s">
        <v>18</v>
      </c>
      <c r="F1910" t="s">
        <v>19</v>
      </c>
    </row>
    <row r="1911" spans="1:6" x14ac:dyDescent="0.2">
      <c r="A1911">
        <v>75120926</v>
      </c>
      <c r="B1911">
        <v>2017</v>
      </c>
      <c r="C1911">
        <v>30.156303092082901</v>
      </c>
      <c r="D1911" t="s">
        <v>890</v>
      </c>
      <c r="E1911" t="s">
        <v>18</v>
      </c>
      <c r="F1911" t="s">
        <v>19</v>
      </c>
    </row>
    <row r="1912" spans="1:6" x14ac:dyDescent="0.2">
      <c r="A1912">
        <v>75120926</v>
      </c>
      <c r="B1912">
        <v>2016</v>
      </c>
      <c r="C1912">
        <v>23.409521036541001</v>
      </c>
      <c r="D1912" t="s">
        <v>890</v>
      </c>
      <c r="E1912" t="s">
        <v>18</v>
      </c>
      <c r="F1912" t="s">
        <v>19</v>
      </c>
    </row>
    <row r="1913" spans="1:6" x14ac:dyDescent="0.2">
      <c r="A1913">
        <v>75120926</v>
      </c>
      <c r="B1913">
        <v>2015</v>
      </c>
      <c r="C1913">
        <v>24.699802401580801</v>
      </c>
      <c r="D1913" t="s">
        <v>890</v>
      </c>
      <c r="E1913" t="s">
        <v>18</v>
      </c>
      <c r="F1913" t="s">
        <v>19</v>
      </c>
    </row>
    <row r="1914" spans="1:6" x14ac:dyDescent="0.2">
      <c r="A1914">
        <v>36609457</v>
      </c>
      <c r="B1914">
        <v>2020</v>
      </c>
      <c r="C1914">
        <v>34.196364751468799</v>
      </c>
      <c r="D1914" t="s">
        <v>289</v>
      </c>
      <c r="E1914" t="s">
        <v>220</v>
      </c>
      <c r="F1914" t="s">
        <v>7</v>
      </c>
    </row>
    <row r="1915" spans="1:6" x14ac:dyDescent="0.2">
      <c r="A1915">
        <v>36609457</v>
      </c>
      <c r="B1915">
        <v>2019</v>
      </c>
      <c r="C1915">
        <v>35.339305302814701</v>
      </c>
      <c r="D1915" t="s">
        <v>289</v>
      </c>
      <c r="E1915" t="s">
        <v>220</v>
      </c>
      <c r="F1915" t="s">
        <v>7</v>
      </c>
    </row>
    <row r="1916" spans="1:6" x14ac:dyDescent="0.2">
      <c r="A1916">
        <v>36609457</v>
      </c>
      <c r="B1916">
        <v>2018</v>
      </c>
      <c r="C1916">
        <v>37.224103701973597</v>
      </c>
      <c r="D1916" t="s">
        <v>289</v>
      </c>
      <c r="E1916" t="s">
        <v>220</v>
      </c>
      <c r="F1916" t="s">
        <v>7</v>
      </c>
    </row>
    <row r="1917" spans="1:6" x14ac:dyDescent="0.2">
      <c r="A1917">
        <v>36609457</v>
      </c>
      <c r="B1917">
        <v>2017</v>
      </c>
      <c r="C1917">
        <v>29.855202268995399</v>
      </c>
      <c r="D1917" t="s">
        <v>289</v>
      </c>
      <c r="E1917" t="s">
        <v>220</v>
      </c>
      <c r="F1917" t="s">
        <v>7</v>
      </c>
    </row>
    <row r="1918" spans="1:6" x14ac:dyDescent="0.2">
      <c r="A1918">
        <v>36609457</v>
      </c>
      <c r="B1918">
        <v>2016</v>
      </c>
      <c r="C1918">
        <v>32.2374843909638</v>
      </c>
      <c r="D1918" t="s">
        <v>289</v>
      </c>
      <c r="E1918" t="s">
        <v>220</v>
      </c>
      <c r="F1918" t="s">
        <v>7</v>
      </c>
    </row>
    <row r="1919" spans="1:6" x14ac:dyDescent="0.2">
      <c r="A1919">
        <v>36609457</v>
      </c>
      <c r="B1919">
        <v>2015</v>
      </c>
      <c r="C1919">
        <v>18.306010928961701</v>
      </c>
      <c r="D1919" t="s">
        <v>289</v>
      </c>
      <c r="E1919" t="s">
        <v>220</v>
      </c>
      <c r="F1919" t="s">
        <v>7</v>
      </c>
    </row>
    <row r="1920" spans="1:6" x14ac:dyDescent="0.2">
      <c r="A1920">
        <v>85480740</v>
      </c>
      <c r="B1920">
        <v>2020</v>
      </c>
      <c r="C1920">
        <v>52.996412721811097</v>
      </c>
      <c r="D1920" t="s">
        <v>900</v>
      </c>
      <c r="E1920" t="s">
        <v>148</v>
      </c>
      <c r="F1920" t="s">
        <v>39</v>
      </c>
    </row>
    <row r="1921" spans="1:6" x14ac:dyDescent="0.2">
      <c r="A1921">
        <v>85480740</v>
      </c>
      <c r="B1921">
        <v>2019</v>
      </c>
      <c r="C1921">
        <v>52.1894378651862</v>
      </c>
      <c r="D1921" t="s">
        <v>900</v>
      </c>
      <c r="E1921" t="s">
        <v>148</v>
      </c>
      <c r="F1921" t="s">
        <v>39</v>
      </c>
    </row>
    <row r="1922" spans="1:6" x14ac:dyDescent="0.2">
      <c r="A1922">
        <v>85480740</v>
      </c>
      <c r="B1922">
        <v>2018</v>
      </c>
      <c r="C1922">
        <v>62.023953183593498</v>
      </c>
      <c r="D1922" t="s">
        <v>900</v>
      </c>
      <c r="E1922" t="s">
        <v>148</v>
      </c>
      <c r="F1922" t="s">
        <v>39</v>
      </c>
    </row>
    <row r="1923" spans="1:6" x14ac:dyDescent="0.2">
      <c r="A1923">
        <v>29142387</v>
      </c>
      <c r="B1923">
        <v>2020</v>
      </c>
      <c r="C1923">
        <v>74.997500000000002</v>
      </c>
      <c r="D1923" t="s">
        <v>825</v>
      </c>
      <c r="E1923" t="s">
        <v>784</v>
      </c>
      <c r="F1923" t="s">
        <v>1126</v>
      </c>
    </row>
    <row r="1924" spans="1:6" x14ac:dyDescent="0.2">
      <c r="A1924">
        <v>29142387</v>
      </c>
      <c r="B1924">
        <v>2019</v>
      </c>
      <c r="C1924">
        <v>67.5</v>
      </c>
      <c r="D1924" t="s">
        <v>825</v>
      </c>
      <c r="E1924" t="s">
        <v>784</v>
      </c>
      <c r="F1924" t="s">
        <v>1126</v>
      </c>
    </row>
    <row r="1925" spans="1:6" x14ac:dyDescent="0.2">
      <c r="A1925">
        <v>29142387</v>
      </c>
      <c r="B1925">
        <v>2018</v>
      </c>
      <c r="C1925">
        <v>54</v>
      </c>
      <c r="D1925" t="s">
        <v>825</v>
      </c>
      <c r="E1925" t="s">
        <v>784</v>
      </c>
      <c r="F1925" t="s">
        <v>1126</v>
      </c>
    </row>
    <row r="1926" spans="1:6" x14ac:dyDescent="0.2">
      <c r="A1926">
        <v>29142387</v>
      </c>
      <c r="B1926">
        <v>2017</v>
      </c>
      <c r="C1926">
        <v>52.5</v>
      </c>
      <c r="D1926" t="s">
        <v>825</v>
      </c>
      <c r="E1926" t="s">
        <v>784</v>
      </c>
      <c r="F1926" t="s">
        <v>1126</v>
      </c>
    </row>
    <row r="1927" spans="1:6" x14ac:dyDescent="0.2">
      <c r="A1927">
        <v>29142387</v>
      </c>
      <c r="B1927">
        <v>2016</v>
      </c>
      <c r="C1927">
        <v>45.8</v>
      </c>
      <c r="D1927" t="s">
        <v>825</v>
      </c>
      <c r="E1927" t="s">
        <v>784</v>
      </c>
      <c r="F1927" t="s">
        <v>1126</v>
      </c>
    </row>
    <row r="1928" spans="1:6" x14ac:dyDescent="0.2">
      <c r="A1928">
        <v>29142387</v>
      </c>
      <c r="B1928">
        <v>2015</v>
      </c>
      <c r="C1928">
        <v>37.5</v>
      </c>
      <c r="D1928" t="s">
        <v>825</v>
      </c>
      <c r="E1928" t="s">
        <v>784</v>
      </c>
      <c r="F1928" t="s">
        <v>1126</v>
      </c>
    </row>
    <row r="1929" spans="1:6" x14ac:dyDescent="0.2">
      <c r="A1929">
        <v>15119896</v>
      </c>
      <c r="B1929">
        <v>2020</v>
      </c>
      <c r="C1929">
        <v>29.782647905639699</v>
      </c>
      <c r="D1929" t="s">
        <v>92</v>
      </c>
      <c r="E1929"/>
      <c r="F1929" t="s">
        <v>28</v>
      </c>
    </row>
    <row r="1930" spans="1:6" x14ac:dyDescent="0.2">
      <c r="A1930">
        <v>15119896</v>
      </c>
      <c r="B1930">
        <v>2019</v>
      </c>
      <c r="C1930">
        <v>29.102957308200299</v>
      </c>
      <c r="D1930" t="s">
        <v>92</v>
      </c>
      <c r="E1930"/>
      <c r="F1930" t="s">
        <v>28</v>
      </c>
    </row>
    <row r="1931" spans="1:6" x14ac:dyDescent="0.2">
      <c r="A1931">
        <v>15119896</v>
      </c>
      <c r="B1931">
        <v>2018</v>
      </c>
      <c r="C1931">
        <v>29.662501459768801</v>
      </c>
      <c r="D1931" t="s">
        <v>92</v>
      </c>
      <c r="E1931"/>
      <c r="F1931" t="s">
        <v>28</v>
      </c>
    </row>
    <row r="1932" spans="1:6" x14ac:dyDescent="0.2">
      <c r="A1932">
        <v>15119896</v>
      </c>
      <c r="B1932">
        <v>2017</v>
      </c>
      <c r="C1932">
        <v>28.827530228392298</v>
      </c>
      <c r="D1932" t="s">
        <v>92</v>
      </c>
      <c r="E1932"/>
      <c r="F1932" t="s">
        <v>28</v>
      </c>
    </row>
    <row r="1933" spans="1:6" x14ac:dyDescent="0.2">
      <c r="A1933">
        <v>15119896</v>
      </c>
      <c r="B1933">
        <v>2016</v>
      </c>
      <c r="C1933">
        <v>28.831876489953501</v>
      </c>
      <c r="D1933" t="s">
        <v>92</v>
      </c>
      <c r="E1933"/>
      <c r="F1933" t="s">
        <v>28</v>
      </c>
    </row>
    <row r="1934" spans="1:6" x14ac:dyDescent="0.2">
      <c r="A1934">
        <v>15119896</v>
      </c>
      <c r="B1934">
        <v>2015</v>
      </c>
      <c r="C1934">
        <v>27.482695810564699</v>
      </c>
      <c r="D1934" t="s">
        <v>92</v>
      </c>
      <c r="E1934"/>
      <c r="F1934" t="s">
        <v>28</v>
      </c>
    </row>
    <row r="1935" spans="1:6" x14ac:dyDescent="0.2">
      <c r="A1935">
        <v>96087956</v>
      </c>
      <c r="B1935">
        <v>2020</v>
      </c>
      <c r="C1935">
        <v>32.581509355539602</v>
      </c>
      <c r="D1935" t="s">
        <v>323</v>
      </c>
      <c r="E1935" t="s">
        <v>324</v>
      </c>
      <c r="F1935" t="s">
        <v>325</v>
      </c>
    </row>
    <row r="1936" spans="1:6" x14ac:dyDescent="0.2">
      <c r="A1936">
        <v>96087956</v>
      </c>
      <c r="B1936">
        <v>2019</v>
      </c>
      <c r="C1936">
        <v>37.574139976275198</v>
      </c>
      <c r="D1936" t="s">
        <v>323</v>
      </c>
      <c r="E1936" t="s">
        <v>324</v>
      </c>
      <c r="F1936" t="s">
        <v>325</v>
      </c>
    </row>
    <row r="1937" spans="1:6" x14ac:dyDescent="0.2">
      <c r="A1937">
        <v>96087956</v>
      </c>
      <c r="B1937">
        <v>2018</v>
      </c>
      <c r="C1937">
        <v>38.055619997414396</v>
      </c>
      <c r="D1937" t="s">
        <v>323</v>
      </c>
      <c r="E1937" t="s">
        <v>324</v>
      </c>
      <c r="F1937" t="s">
        <v>325</v>
      </c>
    </row>
    <row r="1938" spans="1:6" x14ac:dyDescent="0.2">
      <c r="A1938">
        <v>96087956</v>
      </c>
      <c r="B1938">
        <v>2017</v>
      </c>
      <c r="C1938">
        <v>43.3518929101906</v>
      </c>
      <c r="D1938" t="s">
        <v>323</v>
      </c>
      <c r="E1938" t="s">
        <v>324</v>
      </c>
      <c r="F1938" t="s">
        <v>325</v>
      </c>
    </row>
    <row r="1939" spans="1:6" x14ac:dyDescent="0.2">
      <c r="A1939">
        <v>96087956</v>
      </c>
      <c r="B1939">
        <v>2016</v>
      </c>
      <c r="C1939">
        <v>46.419533851276398</v>
      </c>
      <c r="D1939" t="s">
        <v>323</v>
      </c>
      <c r="E1939" t="s">
        <v>324</v>
      </c>
      <c r="F1939" t="s">
        <v>325</v>
      </c>
    </row>
    <row r="1940" spans="1:6" x14ac:dyDescent="0.2">
      <c r="A1940">
        <v>96087956</v>
      </c>
      <c r="B1940">
        <v>2015</v>
      </c>
      <c r="C1940">
        <v>41.940343689060697</v>
      </c>
      <c r="D1940" t="s">
        <v>323</v>
      </c>
      <c r="E1940" t="s">
        <v>324</v>
      </c>
      <c r="F1940" t="s">
        <v>325</v>
      </c>
    </row>
    <row r="1941" spans="1:6" x14ac:dyDescent="0.2">
      <c r="A1941">
        <v>96087956</v>
      </c>
      <c r="B1941">
        <v>2014</v>
      </c>
      <c r="C1941">
        <v>63.199711087034999</v>
      </c>
      <c r="D1941" t="s">
        <v>323</v>
      </c>
      <c r="E1941" t="s">
        <v>324</v>
      </c>
      <c r="F1941" t="s">
        <v>325</v>
      </c>
    </row>
    <row r="1942" spans="1:6" x14ac:dyDescent="0.2">
      <c r="A1942">
        <v>96087956</v>
      </c>
      <c r="B1942">
        <v>2013</v>
      </c>
      <c r="C1942">
        <v>60.323383084577102</v>
      </c>
      <c r="D1942" t="s">
        <v>323</v>
      </c>
      <c r="E1942" t="s">
        <v>324</v>
      </c>
      <c r="F1942" t="s">
        <v>325</v>
      </c>
    </row>
    <row r="1943" spans="1:6" x14ac:dyDescent="0.2">
      <c r="A1943">
        <v>96087956</v>
      </c>
      <c r="B1943">
        <v>2012</v>
      </c>
      <c r="C1943">
        <v>46.25</v>
      </c>
      <c r="D1943" t="s">
        <v>323</v>
      </c>
      <c r="E1943" t="s">
        <v>324</v>
      </c>
      <c r="F1943" t="s">
        <v>325</v>
      </c>
    </row>
    <row r="1944" spans="1:6" x14ac:dyDescent="0.2">
      <c r="A1944">
        <v>12379704</v>
      </c>
      <c r="B1944">
        <v>2020</v>
      </c>
      <c r="C1944">
        <v>42.228534146581197</v>
      </c>
      <c r="D1944" t="s">
        <v>1007</v>
      </c>
      <c r="E1944" t="s">
        <v>1008</v>
      </c>
      <c r="F1944" t="s">
        <v>990</v>
      </c>
    </row>
    <row r="1945" spans="1:6" x14ac:dyDescent="0.2">
      <c r="A1945">
        <v>12379704</v>
      </c>
      <c r="B1945">
        <v>2019</v>
      </c>
      <c r="C1945">
        <v>44.359208432727002</v>
      </c>
      <c r="D1945" t="s">
        <v>1007</v>
      </c>
      <c r="E1945" t="s">
        <v>1008</v>
      </c>
      <c r="F1945" t="s">
        <v>990</v>
      </c>
    </row>
    <row r="1946" spans="1:6" x14ac:dyDescent="0.2">
      <c r="A1946">
        <v>12379704</v>
      </c>
      <c r="B1946">
        <v>2018</v>
      </c>
      <c r="C1946">
        <v>50.352290863793897</v>
      </c>
      <c r="D1946" t="s">
        <v>1007</v>
      </c>
      <c r="E1946" t="s">
        <v>1008</v>
      </c>
      <c r="F1946" t="s">
        <v>990</v>
      </c>
    </row>
    <row r="1947" spans="1:6" x14ac:dyDescent="0.2">
      <c r="A1947">
        <v>12379704</v>
      </c>
      <c r="B1947">
        <v>2017</v>
      </c>
      <c r="C1947">
        <v>42.319749216300899</v>
      </c>
      <c r="D1947" t="s">
        <v>1007</v>
      </c>
      <c r="E1947" t="s">
        <v>1008</v>
      </c>
      <c r="F1947" t="s">
        <v>990</v>
      </c>
    </row>
    <row r="1948" spans="1:6" x14ac:dyDescent="0.2">
      <c r="A1948">
        <v>12379704</v>
      </c>
      <c r="B1948">
        <v>2016</v>
      </c>
      <c r="C1948">
        <v>37.1218829227684</v>
      </c>
      <c r="D1948" t="s">
        <v>1007</v>
      </c>
      <c r="E1948" t="s">
        <v>1008</v>
      </c>
      <c r="F1948" t="s">
        <v>990</v>
      </c>
    </row>
    <row r="1949" spans="1:6" x14ac:dyDescent="0.2">
      <c r="A1949">
        <v>12379704</v>
      </c>
      <c r="B1949">
        <v>2015</v>
      </c>
      <c r="C1949">
        <v>35.568802781917498</v>
      </c>
      <c r="D1949" t="s">
        <v>1007</v>
      </c>
      <c r="E1949" t="s">
        <v>1008</v>
      </c>
      <c r="F1949" t="s">
        <v>990</v>
      </c>
    </row>
    <row r="1950" spans="1:6" x14ac:dyDescent="0.2">
      <c r="A1950">
        <v>12379704</v>
      </c>
      <c r="B1950">
        <v>2013</v>
      </c>
      <c r="C1950">
        <v>42.135642135642101</v>
      </c>
      <c r="D1950" t="s">
        <v>1007</v>
      </c>
      <c r="E1950" t="s">
        <v>1008</v>
      </c>
      <c r="F1950" t="s">
        <v>990</v>
      </c>
    </row>
    <row r="1951" spans="1:6" x14ac:dyDescent="0.2">
      <c r="A1951">
        <v>12379704</v>
      </c>
      <c r="B1951">
        <v>2012</v>
      </c>
      <c r="C1951">
        <v>58.641975308642003</v>
      </c>
      <c r="D1951" t="s">
        <v>1007</v>
      </c>
      <c r="E1951" t="s">
        <v>1008</v>
      </c>
      <c r="F1951" t="s">
        <v>990</v>
      </c>
    </row>
    <row r="1952" spans="1:6" x14ac:dyDescent="0.2">
      <c r="A1952">
        <v>42320514</v>
      </c>
      <c r="B1952">
        <v>2018</v>
      </c>
      <c r="C1952">
        <v>68.157931056447893</v>
      </c>
      <c r="D1952" t="s">
        <v>935</v>
      </c>
      <c r="E1952"/>
      <c r="F1952" t="s">
        <v>232</v>
      </c>
    </row>
    <row r="1953" spans="1:6" x14ac:dyDescent="0.2">
      <c r="A1953">
        <v>42320514</v>
      </c>
      <c r="B1953">
        <v>2016</v>
      </c>
      <c r="C1953">
        <v>46.827108638892</v>
      </c>
      <c r="D1953" t="s">
        <v>935</v>
      </c>
      <c r="E1953"/>
      <c r="F1953" t="s">
        <v>232</v>
      </c>
    </row>
    <row r="1954" spans="1:6" x14ac:dyDescent="0.2">
      <c r="A1954">
        <v>42320514</v>
      </c>
      <c r="B1954">
        <v>2015</v>
      </c>
      <c r="C1954">
        <v>37.340619307832398</v>
      </c>
      <c r="D1954" t="s">
        <v>935</v>
      </c>
      <c r="E1954"/>
      <c r="F1954" t="s">
        <v>232</v>
      </c>
    </row>
    <row r="1955" spans="1:6" x14ac:dyDescent="0.2">
      <c r="A1955">
        <v>24181385</v>
      </c>
      <c r="B1955">
        <v>2019</v>
      </c>
      <c r="C1955">
        <v>72</v>
      </c>
      <c r="D1955" t="s">
        <v>651</v>
      </c>
      <c r="E1955" t="s">
        <v>652</v>
      </c>
      <c r="F1955" t="s">
        <v>1126</v>
      </c>
    </row>
    <row r="1956" spans="1:6" x14ac:dyDescent="0.2">
      <c r="A1956">
        <v>24181385</v>
      </c>
      <c r="B1956">
        <v>2018</v>
      </c>
      <c r="C1956">
        <v>57</v>
      </c>
      <c r="D1956" t="s">
        <v>651</v>
      </c>
      <c r="E1956" t="s">
        <v>652</v>
      </c>
      <c r="F1956" t="s">
        <v>1126</v>
      </c>
    </row>
    <row r="1957" spans="1:6" x14ac:dyDescent="0.2">
      <c r="A1957">
        <v>24181385</v>
      </c>
      <c r="B1957">
        <v>2015</v>
      </c>
      <c r="C1957">
        <v>50.8</v>
      </c>
      <c r="D1957" t="s">
        <v>651</v>
      </c>
      <c r="E1957" t="s">
        <v>652</v>
      </c>
      <c r="F1957" t="s">
        <v>1126</v>
      </c>
    </row>
    <row r="1958" spans="1:6" x14ac:dyDescent="0.2">
      <c r="A1958">
        <v>31411134</v>
      </c>
      <c r="B1958">
        <v>2020</v>
      </c>
      <c r="C1958">
        <v>33.568105957197602</v>
      </c>
      <c r="D1958" t="s">
        <v>751</v>
      </c>
      <c r="E1958" t="s">
        <v>752</v>
      </c>
      <c r="F1958" t="s">
        <v>223</v>
      </c>
    </row>
    <row r="1959" spans="1:6" x14ac:dyDescent="0.2">
      <c r="A1959">
        <v>31411134</v>
      </c>
      <c r="B1959">
        <v>2019</v>
      </c>
      <c r="C1959">
        <v>30.851933107971998</v>
      </c>
      <c r="D1959" t="s">
        <v>751</v>
      </c>
      <c r="E1959" t="s">
        <v>752</v>
      </c>
      <c r="F1959" t="s">
        <v>223</v>
      </c>
    </row>
    <row r="1960" spans="1:6" x14ac:dyDescent="0.2">
      <c r="A1960">
        <v>31411134</v>
      </c>
      <c r="B1960">
        <v>2018</v>
      </c>
      <c r="C1960">
        <v>31.030513338115799</v>
      </c>
      <c r="D1960" t="s">
        <v>751</v>
      </c>
      <c r="E1960" t="s">
        <v>752</v>
      </c>
      <c r="F1960" t="s">
        <v>223</v>
      </c>
    </row>
    <row r="1961" spans="1:6" x14ac:dyDescent="0.2">
      <c r="A1961">
        <v>31411134</v>
      </c>
      <c r="B1961">
        <v>2017</v>
      </c>
      <c r="C1961">
        <v>25.302283922973601</v>
      </c>
      <c r="D1961" t="s">
        <v>751</v>
      </c>
      <c r="E1961" t="s">
        <v>752</v>
      </c>
      <c r="F1961" t="s">
        <v>223</v>
      </c>
    </row>
    <row r="1962" spans="1:6" x14ac:dyDescent="0.2">
      <c r="A1962">
        <v>31411134</v>
      </c>
      <c r="B1962">
        <v>2016</v>
      </c>
      <c r="C1962">
        <v>22.704052673402199</v>
      </c>
      <c r="D1962" t="s">
        <v>751</v>
      </c>
      <c r="E1962" t="s">
        <v>752</v>
      </c>
      <c r="F1962" t="s">
        <v>223</v>
      </c>
    </row>
    <row r="1963" spans="1:6" x14ac:dyDescent="0.2">
      <c r="A1963">
        <v>31411134</v>
      </c>
      <c r="B1963">
        <v>2015</v>
      </c>
      <c r="C1963">
        <v>21.844262295082</v>
      </c>
      <c r="D1963" t="s">
        <v>751</v>
      </c>
      <c r="E1963" t="s">
        <v>752</v>
      </c>
      <c r="F1963" t="s">
        <v>223</v>
      </c>
    </row>
    <row r="1964" spans="1:6" x14ac:dyDescent="0.2">
      <c r="A1964">
        <v>17877210</v>
      </c>
      <c r="B1964">
        <v>2020</v>
      </c>
      <c r="C1964">
        <v>36.610547075994099</v>
      </c>
      <c r="D1964" t="s">
        <v>82</v>
      </c>
      <c r="E1964" t="s">
        <v>82</v>
      </c>
      <c r="F1964" t="s">
        <v>83</v>
      </c>
    </row>
    <row r="1965" spans="1:6" x14ac:dyDescent="0.2">
      <c r="A1965">
        <v>17877210</v>
      </c>
      <c r="B1965">
        <v>2019</v>
      </c>
      <c r="C1965">
        <v>36.157159700612702</v>
      </c>
      <c r="D1965" t="s">
        <v>82</v>
      </c>
      <c r="E1965" t="s">
        <v>82</v>
      </c>
      <c r="F1965" t="s">
        <v>83</v>
      </c>
    </row>
    <row r="1966" spans="1:6" x14ac:dyDescent="0.2">
      <c r="A1966">
        <v>17877210</v>
      </c>
      <c r="B1966">
        <v>2018</v>
      </c>
      <c r="C1966">
        <v>36.429610328944698</v>
      </c>
      <c r="D1966" t="s">
        <v>82</v>
      </c>
      <c r="E1966" t="s">
        <v>82</v>
      </c>
      <c r="F1966" t="s">
        <v>83</v>
      </c>
    </row>
    <row r="1967" spans="1:6" x14ac:dyDescent="0.2">
      <c r="A1967">
        <v>17877210</v>
      </c>
      <c r="B1967">
        <v>2017</v>
      </c>
      <c r="C1967">
        <v>32.528560013346997</v>
      </c>
      <c r="D1967" t="s">
        <v>82</v>
      </c>
      <c r="E1967" t="s">
        <v>82</v>
      </c>
      <c r="F1967" t="s">
        <v>83</v>
      </c>
    </row>
    <row r="1968" spans="1:6" x14ac:dyDescent="0.2">
      <c r="A1968">
        <v>17877210</v>
      </c>
      <c r="B1968">
        <v>2016</v>
      </c>
      <c r="C1968">
        <v>29.057403413175901</v>
      </c>
      <c r="D1968" t="s">
        <v>82</v>
      </c>
      <c r="E1968" t="s">
        <v>82</v>
      </c>
      <c r="F1968" t="s">
        <v>83</v>
      </c>
    </row>
    <row r="1969" spans="1:6" x14ac:dyDescent="0.2">
      <c r="A1969">
        <v>17877210</v>
      </c>
      <c r="B1969">
        <v>2015</v>
      </c>
      <c r="C1969">
        <v>26.1711376055638</v>
      </c>
      <c r="D1969" t="s">
        <v>82</v>
      </c>
      <c r="E1969" t="s">
        <v>82</v>
      </c>
      <c r="F1969" t="s">
        <v>83</v>
      </c>
    </row>
    <row r="1970" spans="1:6" x14ac:dyDescent="0.2">
      <c r="A1970">
        <v>17877210</v>
      </c>
      <c r="B1970">
        <v>2014</v>
      </c>
      <c r="C1970">
        <v>29.799122329568601</v>
      </c>
      <c r="D1970" t="s">
        <v>82</v>
      </c>
      <c r="E1970" t="s">
        <v>82</v>
      </c>
      <c r="F1970" t="s">
        <v>83</v>
      </c>
    </row>
    <row r="1971" spans="1:6" x14ac:dyDescent="0.2">
      <c r="A1971">
        <v>17877210</v>
      </c>
      <c r="B1971">
        <v>2013</v>
      </c>
      <c r="C1971">
        <v>25.974025974025999</v>
      </c>
      <c r="D1971" t="s">
        <v>82</v>
      </c>
      <c r="E1971" t="s">
        <v>82</v>
      </c>
      <c r="F1971" t="s">
        <v>83</v>
      </c>
    </row>
    <row r="1972" spans="1:6" x14ac:dyDescent="0.2">
      <c r="A1972">
        <v>17877210</v>
      </c>
      <c r="B1972">
        <v>2012</v>
      </c>
      <c r="C1972">
        <v>29.217078189300398</v>
      </c>
      <c r="D1972" t="s">
        <v>82</v>
      </c>
      <c r="E1972" t="s">
        <v>82</v>
      </c>
      <c r="F1972" t="s">
        <v>83</v>
      </c>
    </row>
    <row r="1973" spans="1:6" x14ac:dyDescent="0.2">
      <c r="A1973">
        <v>17877210</v>
      </c>
      <c r="B1973">
        <v>2011</v>
      </c>
      <c r="C1973">
        <v>30.144927536231901</v>
      </c>
      <c r="D1973" t="s">
        <v>82</v>
      </c>
      <c r="E1973" t="s">
        <v>82</v>
      </c>
      <c r="F1973" t="s">
        <v>83</v>
      </c>
    </row>
    <row r="1974" spans="1:6" x14ac:dyDescent="0.2">
      <c r="A1974">
        <v>17877210</v>
      </c>
      <c r="B1974">
        <v>2010</v>
      </c>
      <c r="C1974">
        <v>19.7530864197531</v>
      </c>
      <c r="D1974" t="s">
        <v>82</v>
      </c>
      <c r="E1974" t="s">
        <v>82</v>
      </c>
      <c r="F1974" t="s">
        <v>83</v>
      </c>
    </row>
    <row r="1975" spans="1:6" x14ac:dyDescent="0.2">
      <c r="A1975">
        <v>54923195</v>
      </c>
      <c r="B1975">
        <v>2020</v>
      </c>
      <c r="C1975">
        <v>55.8333333333333</v>
      </c>
      <c r="D1975" t="s">
        <v>664</v>
      </c>
      <c r="E1975" t="s">
        <v>665</v>
      </c>
      <c r="F1975" t="s">
        <v>1126</v>
      </c>
    </row>
    <row r="1976" spans="1:6" x14ac:dyDescent="0.2">
      <c r="A1976">
        <v>54923195</v>
      </c>
      <c r="B1976">
        <v>2019</v>
      </c>
      <c r="C1976">
        <v>67.997500000000002</v>
      </c>
      <c r="D1976" t="s">
        <v>664</v>
      </c>
      <c r="E1976" t="s">
        <v>665</v>
      </c>
      <c r="F1976" t="s">
        <v>1126</v>
      </c>
    </row>
    <row r="1977" spans="1:6" x14ac:dyDescent="0.2">
      <c r="A1977">
        <v>54923195</v>
      </c>
      <c r="B1977">
        <v>2018</v>
      </c>
      <c r="C1977">
        <v>54.1666666666667</v>
      </c>
      <c r="D1977" t="s">
        <v>664</v>
      </c>
      <c r="E1977" t="s">
        <v>665</v>
      </c>
      <c r="F1977" t="s">
        <v>1126</v>
      </c>
    </row>
    <row r="1978" spans="1:6" x14ac:dyDescent="0.2">
      <c r="A1978">
        <v>54923195</v>
      </c>
      <c r="B1978">
        <v>2017</v>
      </c>
      <c r="C1978">
        <v>53.1666666666667</v>
      </c>
      <c r="D1978" t="s">
        <v>664</v>
      </c>
      <c r="E1978" t="s">
        <v>665</v>
      </c>
      <c r="F1978" t="s">
        <v>1126</v>
      </c>
    </row>
    <row r="1979" spans="1:6" x14ac:dyDescent="0.2">
      <c r="A1979">
        <v>54923195</v>
      </c>
      <c r="B1979">
        <v>2016</v>
      </c>
      <c r="C1979">
        <v>45.819230769230799</v>
      </c>
      <c r="D1979" t="s">
        <v>664</v>
      </c>
      <c r="E1979" t="s">
        <v>665</v>
      </c>
      <c r="F1979" t="s">
        <v>1126</v>
      </c>
    </row>
    <row r="1980" spans="1:6" x14ac:dyDescent="0.2">
      <c r="A1980">
        <v>54923195</v>
      </c>
      <c r="B1980">
        <v>2015</v>
      </c>
      <c r="C1980">
        <v>48.8</v>
      </c>
      <c r="D1980" t="s">
        <v>664</v>
      </c>
      <c r="E1980" t="s">
        <v>665</v>
      </c>
      <c r="F1980" t="s">
        <v>1126</v>
      </c>
    </row>
    <row r="1981" spans="1:6" x14ac:dyDescent="0.2">
      <c r="A1981">
        <v>54923195</v>
      </c>
      <c r="B1981">
        <v>2014</v>
      </c>
      <c r="C1981">
        <v>48.6666666666667</v>
      </c>
      <c r="D1981" t="s">
        <v>664</v>
      </c>
      <c r="E1981" t="s">
        <v>665</v>
      </c>
      <c r="F1981" t="s">
        <v>1126</v>
      </c>
    </row>
    <row r="1982" spans="1:6" x14ac:dyDescent="0.2">
      <c r="A1982">
        <v>21446993</v>
      </c>
      <c r="B1982">
        <v>2020</v>
      </c>
      <c r="C1982">
        <v>37.560452723153503</v>
      </c>
      <c r="D1982" t="s">
        <v>628</v>
      </c>
      <c r="E1982" t="s">
        <v>18</v>
      </c>
      <c r="F1982" t="s">
        <v>19</v>
      </c>
    </row>
    <row r="1983" spans="1:6" x14ac:dyDescent="0.2">
      <c r="A1983">
        <v>21446993</v>
      </c>
      <c r="B1983">
        <v>2019</v>
      </c>
      <c r="C1983">
        <v>35.848883169409</v>
      </c>
      <c r="D1983" t="s">
        <v>628</v>
      </c>
      <c r="E1983" t="s">
        <v>18</v>
      </c>
      <c r="F1983" t="s">
        <v>19</v>
      </c>
    </row>
    <row r="1984" spans="1:6" x14ac:dyDescent="0.2">
      <c r="A1984">
        <v>21446993</v>
      </c>
      <c r="B1984">
        <v>2018</v>
      </c>
      <c r="C1984">
        <v>36.120744393151597</v>
      </c>
      <c r="D1984" t="s">
        <v>628</v>
      </c>
      <c r="E1984" t="s">
        <v>18</v>
      </c>
      <c r="F1984" t="s">
        <v>19</v>
      </c>
    </row>
    <row r="1985" spans="1:6" x14ac:dyDescent="0.2">
      <c r="A1985">
        <v>21446993</v>
      </c>
      <c r="B1985">
        <v>2017</v>
      </c>
      <c r="C1985">
        <v>28.3501104315324</v>
      </c>
      <c r="D1985" t="s">
        <v>628</v>
      </c>
      <c r="E1985" t="s">
        <v>18</v>
      </c>
      <c r="F1985" t="s">
        <v>19</v>
      </c>
    </row>
    <row r="1986" spans="1:6" x14ac:dyDescent="0.2">
      <c r="A1986">
        <v>21446993</v>
      </c>
      <c r="B1986">
        <v>2016</v>
      </c>
      <c r="C1986">
        <v>27.187363517251399</v>
      </c>
      <c r="D1986" t="s">
        <v>628</v>
      </c>
      <c r="E1986" t="s">
        <v>18</v>
      </c>
      <c r="F1986" t="s">
        <v>19</v>
      </c>
    </row>
    <row r="1987" spans="1:6" x14ac:dyDescent="0.2">
      <c r="A1987">
        <v>21446993</v>
      </c>
      <c r="B1987">
        <v>2015</v>
      </c>
      <c r="C1987">
        <v>39.874347671885303</v>
      </c>
      <c r="D1987" t="s">
        <v>628</v>
      </c>
      <c r="E1987" t="s">
        <v>18</v>
      </c>
      <c r="F1987" t="s">
        <v>19</v>
      </c>
    </row>
    <row r="1988" spans="1:6" x14ac:dyDescent="0.2">
      <c r="A1988">
        <v>21446993</v>
      </c>
      <c r="B1988">
        <v>2012</v>
      </c>
      <c r="C1988">
        <v>36.153846153846203</v>
      </c>
      <c r="D1988" t="s">
        <v>628</v>
      </c>
      <c r="E1988" t="s">
        <v>18</v>
      </c>
      <c r="F1988" t="s">
        <v>19</v>
      </c>
    </row>
    <row r="1989" spans="1:6" x14ac:dyDescent="0.2">
      <c r="A1989">
        <v>94792623</v>
      </c>
      <c r="B1989">
        <v>2020</v>
      </c>
      <c r="C1989">
        <v>38.478067724071302</v>
      </c>
      <c r="D1989" t="s">
        <v>63</v>
      </c>
      <c r="E1989" t="s">
        <v>64</v>
      </c>
      <c r="F1989" t="s">
        <v>65</v>
      </c>
    </row>
    <row r="1990" spans="1:6" x14ac:dyDescent="0.2">
      <c r="A1990">
        <v>94792623</v>
      </c>
      <c r="B1990">
        <v>2019</v>
      </c>
      <c r="C1990">
        <v>36.668182284867797</v>
      </c>
      <c r="D1990" t="s">
        <v>63</v>
      </c>
      <c r="E1990" t="s">
        <v>64</v>
      </c>
      <c r="F1990" t="s">
        <v>65</v>
      </c>
    </row>
    <row r="1991" spans="1:6" x14ac:dyDescent="0.2">
      <c r="A1991">
        <v>94792623</v>
      </c>
      <c r="B1991">
        <v>2018</v>
      </c>
      <c r="C1991">
        <v>38.254435042943697</v>
      </c>
      <c r="D1991" t="s">
        <v>63</v>
      </c>
      <c r="E1991" t="s">
        <v>64</v>
      </c>
      <c r="F1991" t="s">
        <v>65</v>
      </c>
    </row>
    <row r="1992" spans="1:6" x14ac:dyDescent="0.2">
      <c r="A1992">
        <v>94792623</v>
      </c>
      <c r="B1992">
        <v>2017</v>
      </c>
      <c r="C1992">
        <v>34.209085933223903</v>
      </c>
      <c r="D1992" t="s">
        <v>63</v>
      </c>
      <c r="E1992" t="s">
        <v>64</v>
      </c>
      <c r="F1992" t="s">
        <v>65</v>
      </c>
    </row>
    <row r="1993" spans="1:6" x14ac:dyDescent="0.2">
      <c r="A1993">
        <v>94792623</v>
      </c>
      <c r="B1993">
        <v>2016</v>
      </c>
      <c r="C1993">
        <v>32.565440517339198</v>
      </c>
      <c r="D1993" t="s">
        <v>63</v>
      </c>
      <c r="E1993" t="s">
        <v>64</v>
      </c>
      <c r="F1993" t="s">
        <v>65</v>
      </c>
    </row>
    <row r="1994" spans="1:6" x14ac:dyDescent="0.2">
      <c r="A1994">
        <v>94792623</v>
      </c>
      <c r="B1994">
        <v>2015</v>
      </c>
      <c r="C1994">
        <v>29.632786885245899</v>
      </c>
      <c r="D1994" t="s">
        <v>63</v>
      </c>
      <c r="E1994" t="s">
        <v>64</v>
      </c>
      <c r="F1994" t="s">
        <v>65</v>
      </c>
    </row>
    <row r="1995" spans="1:6" x14ac:dyDescent="0.2">
      <c r="A1995">
        <v>94792623</v>
      </c>
      <c r="B1995">
        <v>2014</v>
      </c>
      <c r="C1995">
        <v>28.8021045947294</v>
      </c>
      <c r="D1995" t="s">
        <v>63</v>
      </c>
      <c r="E1995" t="s">
        <v>64</v>
      </c>
      <c r="F1995" t="s">
        <v>65</v>
      </c>
    </row>
    <row r="1996" spans="1:6" x14ac:dyDescent="0.2">
      <c r="A1996">
        <v>94792623</v>
      </c>
      <c r="B1996">
        <v>2013</v>
      </c>
      <c r="C1996">
        <v>34.285714285714299</v>
      </c>
      <c r="D1996" t="s">
        <v>63</v>
      </c>
      <c r="E1996" t="s">
        <v>64</v>
      </c>
      <c r="F1996" t="s">
        <v>65</v>
      </c>
    </row>
    <row r="1997" spans="1:6" x14ac:dyDescent="0.2">
      <c r="A1997">
        <v>94792623</v>
      </c>
      <c r="B1997">
        <v>2012</v>
      </c>
      <c r="C1997">
        <v>33.086419753086403</v>
      </c>
      <c r="D1997" t="s">
        <v>63</v>
      </c>
      <c r="E1997" t="s">
        <v>64</v>
      </c>
      <c r="F1997" t="s">
        <v>65</v>
      </c>
    </row>
    <row r="1998" spans="1:6" x14ac:dyDescent="0.2">
      <c r="A1998">
        <v>94792623</v>
      </c>
      <c r="B1998">
        <v>2011</v>
      </c>
      <c r="C1998">
        <v>28.985507246376802</v>
      </c>
      <c r="D1998" t="s">
        <v>63</v>
      </c>
      <c r="E1998" t="s">
        <v>64</v>
      </c>
      <c r="F1998" t="s">
        <v>65</v>
      </c>
    </row>
    <row r="1999" spans="1:6" x14ac:dyDescent="0.2">
      <c r="A1999">
        <v>94792623</v>
      </c>
      <c r="B1999">
        <v>2010</v>
      </c>
      <c r="C1999">
        <v>32.098765432098801</v>
      </c>
      <c r="D1999" t="s">
        <v>63</v>
      </c>
      <c r="E1999" t="s">
        <v>64</v>
      </c>
      <c r="F1999" t="s">
        <v>65</v>
      </c>
    </row>
    <row r="2000" spans="1:6" x14ac:dyDescent="0.2">
      <c r="A2000">
        <v>25523836</v>
      </c>
      <c r="B2000">
        <v>2020</v>
      </c>
      <c r="C2000">
        <v>12.212414370900101</v>
      </c>
      <c r="D2000" t="s">
        <v>75</v>
      </c>
      <c r="E2000" t="s">
        <v>76</v>
      </c>
      <c r="F2000" t="s">
        <v>42</v>
      </c>
    </row>
    <row r="2001" spans="1:6" x14ac:dyDescent="0.2">
      <c r="A2001">
        <v>25523836</v>
      </c>
      <c r="B2001">
        <v>2019</v>
      </c>
      <c r="C2001">
        <v>14.1104900787332</v>
      </c>
      <c r="D2001" t="s">
        <v>75</v>
      </c>
      <c r="E2001" t="s">
        <v>76</v>
      </c>
      <c r="F2001" t="s">
        <v>42</v>
      </c>
    </row>
    <row r="2002" spans="1:6" x14ac:dyDescent="0.2">
      <c r="A2002">
        <v>25523836</v>
      </c>
      <c r="B2002">
        <v>2018</v>
      </c>
      <c r="C2002">
        <v>13.6696011719984</v>
      </c>
      <c r="D2002" t="s">
        <v>75</v>
      </c>
      <c r="E2002" t="s">
        <v>76</v>
      </c>
      <c r="F2002" t="s">
        <v>42</v>
      </c>
    </row>
    <row r="2003" spans="1:6" x14ac:dyDescent="0.2">
      <c r="A2003">
        <v>25523836</v>
      </c>
      <c r="B2003">
        <v>2017</v>
      </c>
      <c r="C2003">
        <v>11.5738517044011</v>
      </c>
      <c r="D2003" t="s">
        <v>75</v>
      </c>
      <c r="E2003" t="s">
        <v>76</v>
      </c>
      <c r="F2003" t="s">
        <v>42</v>
      </c>
    </row>
    <row r="2004" spans="1:6" x14ac:dyDescent="0.2">
      <c r="A2004">
        <v>25523836</v>
      </c>
      <c r="B2004">
        <v>2016</v>
      </c>
      <c r="C2004">
        <v>10.3330079029695</v>
      </c>
      <c r="D2004" t="s">
        <v>75</v>
      </c>
      <c r="E2004" t="s">
        <v>76</v>
      </c>
      <c r="F2004" t="s">
        <v>42</v>
      </c>
    </row>
    <row r="2005" spans="1:6" x14ac:dyDescent="0.2">
      <c r="A2005">
        <v>25523836</v>
      </c>
      <c r="B2005">
        <v>2015</v>
      </c>
      <c r="C2005">
        <v>11.2830859903895</v>
      </c>
      <c r="D2005" t="s">
        <v>75</v>
      </c>
      <c r="E2005" t="s">
        <v>76</v>
      </c>
      <c r="F2005" t="s">
        <v>42</v>
      </c>
    </row>
    <row r="2006" spans="1:6" x14ac:dyDescent="0.2">
      <c r="A2006">
        <v>25523836</v>
      </c>
      <c r="B2006">
        <v>2013</v>
      </c>
      <c r="C2006">
        <v>14.1843971631206</v>
      </c>
      <c r="D2006" t="s">
        <v>75</v>
      </c>
      <c r="E2006" t="s">
        <v>76</v>
      </c>
      <c r="F2006" t="s">
        <v>42</v>
      </c>
    </row>
    <row r="2007" spans="1:6" x14ac:dyDescent="0.2">
      <c r="A2007">
        <v>66568940</v>
      </c>
      <c r="B2007">
        <v>2020</v>
      </c>
      <c r="C2007">
        <v>52.205956626805602</v>
      </c>
      <c r="D2007" t="s">
        <v>17</v>
      </c>
      <c r="E2007" t="s">
        <v>32</v>
      </c>
      <c r="F2007" t="s">
        <v>33</v>
      </c>
    </row>
    <row r="2008" spans="1:6" x14ac:dyDescent="0.2">
      <c r="A2008">
        <v>32409933</v>
      </c>
      <c r="B2008">
        <v>2020</v>
      </c>
      <c r="C2008">
        <v>38.7237177967666</v>
      </c>
      <c r="D2008" t="s">
        <v>17</v>
      </c>
      <c r="E2008" t="s">
        <v>18</v>
      </c>
      <c r="F2008" t="s">
        <v>19</v>
      </c>
    </row>
    <row r="2009" spans="1:6" x14ac:dyDescent="0.2">
      <c r="A2009">
        <v>66568940</v>
      </c>
      <c r="B2009">
        <v>2019</v>
      </c>
      <c r="C2009">
        <v>53.5847455685415</v>
      </c>
      <c r="D2009" t="s">
        <v>17</v>
      </c>
      <c r="E2009" t="s">
        <v>32</v>
      </c>
      <c r="F2009" t="s">
        <v>33</v>
      </c>
    </row>
    <row r="2010" spans="1:6" x14ac:dyDescent="0.2">
      <c r="A2010">
        <v>32409933</v>
      </c>
      <c r="B2010">
        <v>2019</v>
      </c>
      <c r="C2010">
        <v>39.563117681594299</v>
      </c>
      <c r="D2010" t="s">
        <v>17</v>
      </c>
      <c r="E2010" t="s">
        <v>18</v>
      </c>
      <c r="F2010" t="s">
        <v>19</v>
      </c>
    </row>
    <row r="2011" spans="1:6" x14ac:dyDescent="0.2">
      <c r="A2011">
        <v>66568940</v>
      </c>
      <c r="B2011">
        <v>2018</v>
      </c>
      <c r="C2011">
        <v>47.193637751490897</v>
      </c>
      <c r="D2011" t="s">
        <v>17</v>
      </c>
      <c r="E2011" t="s">
        <v>32</v>
      </c>
      <c r="F2011" t="s">
        <v>33</v>
      </c>
    </row>
    <row r="2012" spans="1:6" x14ac:dyDescent="0.2">
      <c r="A2012">
        <v>32409933</v>
      </c>
      <c r="B2012">
        <v>2018</v>
      </c>
      <c r="C2012">
        <v>42.771302005301202</v>
      </c>
      <c r="D2012" t="s">
        <v>17</v>
      </c>
      <c r="E2012" t="s">
        <v>18</v>
      </c>
      <c r="F2012" t="s">
        <v>19</v>
      </c>
    </row>
    <row r="2013" spans="1:6" x14ac:dyDescent="0.2">
      <c r="A2013">
        <v>66568940</v>
      </c>
      <c r="B2013">
        <v>2017</v>
      </c>
      <c r="C2013">
        <v>55.508310052910801</v>
      </c>
      <c r="D2013" t="s">
        <v>17</v>
      </c>
      <c r="E2013" t="s">
        <v>32</v>
      </c>
      <c r="F2013" t="s">
        <v>33</v>
      </c>
    </row>
    <row r="2014" spans="1:6" x14ac:dyDescent="0.2">
      <c r="A2014">
        <v>32409933</v>
      </c>
      <c r="B2014">
        <v>2017</v>
      </c>
      <c r="C2014">
        <v>34.066103625127397</v>
      </c>
      <c r="D2014" t="s">
        <v>17</v>
      </c>
      <c r="E2014" t="s">
        <v>18</v>
      </c>
      <c r="F2014" t="s">
        <v>19</v>
      </c>
    </row>
    <row r="2015" spans="1:6" x14ac:dyDescent="0.2">
      <c r="A2015">
        <v>32409933</v>
      </c>
      <c r="B2015">
        <v>2016</v>
      </c>
      <c r="C2015">
        <v>36.408632160277101</v>
      </c>
      <c r="D2015" t="s">
        <v>17</v>
      </c>
      <c r="E2015" t="s">
        <v>18</v>
      </c>
      <c r="F2015" t="s">
        <v>19</v>
      </c>
    </row>
    <row r="2016" spans="1:6" x14ac:dyDescent="0.2">
      <c r="A2016">
        <v>66568940</v>
      </c>
      <c r="B2016">
        <v>2015</v>
      </c>
      <c r="C2016">
        <v>42.251275510204103</v>
      </c>
      <c r="D2016" t="s">
        <v>17</v>
      </c>
      <c r="E2016" t="s">
        <v>32</v>
      </c>
      <c r="F2016" t="s">
        <v>33</v>
      </c>
    </row>
    <row r="2017" spans="1:6" x14ac:dyDescent="0.2">
      <c r="A2017">
        <v>32409933</v>
      </c>
      <c r="B2017">
        <v>2015</v>
      </c>
      <c r="C2017">
        <v>33.759670364810098</v>
      </c>
      <c r="D2017" t="s">
        <v>17</v>
      </c>
      <c r="E2017" t="s">
        <v>18</v>
      </c>
      <c r="F2017" t="s">
        <v>19</v>
      </c>
    </row>
    <row r="2018" spans="1:6" x14ac:dyDescent="0.2">
      <c r="A2018">
        <v>66568940</v>
      </c>
      <c r="B2018">
        <v>2014</v>
      </c>
      <c r="C2018">
        <v>46.680179350162803</v>
      </c>
      <c r="D2018" t="s">
        <v>17</v>
      </c>
      <c r="E2018" t="s">
        <v>32</v>
      </c>
      <c r="F2018" t="s">
        <v>33</v>
      </c>
    </row>
    <row r="2019" spans="1:6" x14ac:dyDescent="0.2">
      <c r="A2019">
        <v>32409933</v>
      </c>
      <c r="B2019">
        <v>2014</v>
      </c>
      <c r="C2019">
        <v>33.495226930162502</v>
      </c>
      <c r="D2019" t="s">
        <v>17</v>
      </c>
      <c r="E2019" t="s">
        <v>18</v>
      </c>
      <c r="F2019" t="s">
        <v>19</v>
      </c>
    </row>
    <row r="2020" spans="1:6" x14ac:dyDescent="0.2">
      <c r="A2020">
        <v>66568940</v>
      </c>
      <c r="B2020">
        <v>2013</v>
      </c>
      <c r="C2020">
        <v>41.6666666666667</v>
      </c>
      <c r="D2020" t="s">
        <v>17</v>
      </c>
      <c r="E2020" t="s">
        <v>32</v>
      </c>
      <c r="F2020" t="s">
        <v>33</v>
      </c>
    </row>
    <row r="2021" spans="1:6" x14ac:dyDescent="0.2">
      <c r="A2021">
        <v>32409933</v>
      </c>
      <c r="B2021">
        <v>2013</v>
      </c>
      <c r="C2021">
        <v>29.1666666666667</v>
      </c>
      <c r="D2021" t="s">
        <v>17</v>
      </c>
      <c r="E2021" t="s">
        <v>18</v>
      </c>
      <c r="F2021" t="s">
        <v>19</v>
      </c>
    </row>
    <row r="2022" spans="1:6" x14ac:dyDescent="0.2">
      <c r="A2022">
        <v>32409933</v>
      </c>
      <c r="B2022">
        <v>2012</v>
      </c>
      <c r="C2022">
        <v>30.036789297658899</v>
      </c>
      <c r="D2022" t="s">
        <v>17</v>
      </c>
      <c r="E2022" t="s">
        <v>18</v>
      </c>
      <c r="F2022" t="s">
        <v>19</v>
      </c>
    </row>
    <row r="2023" spans="1:6" x14ac:dyDescent="0.2">
      <c r="A2023">
        <v>32409933</v>
      </c>
      <c r="B2023">
        <v>2011</v>
      </c>
      <c r="C2023">
        <v>34.836065573770497</v>
      </c>
      <c r="D2023" t="s">
        <v>17</v>
      </c>
      <c r="E2023" t="s">
        <v>18</v>
      </c>
      <c r="F2023" t="s">
        <v>19</v>
      </c>
    </row>
    <row r="2024" spans="1:6" x14ac:dyDescent="0.2">
      <c r="A2024">
        <v>32409933</v>
      </c>
      <c r="B2024">
        <v>2010</v>
      </c>
      <c r="C2024">
        <v>21.449275362318801</v>
      </c>
      <c r="D2024" t="s">
        <v>17</v>
      </c>
      <c r="E2024" t="s">
        <v>18</v>
      </c>
      <c r="F2024" t="s">
        <v>19</v>
      </c>
    </row>
    <row r="2025" spans="1:6" x14ac:dyDescent="0.2">
      <c r="A2025">
        <v>12854252</v>
      </c>
      <c r="B2025">
        <v>2020</v>
      </c>
      <c r="C2025">
        <v>67.497500000000002</v>
      </c>
      <c r="D2025" t="s">
        <v>586</v>
      </c>
      <c r="E2025" t="s">
        <v>5</v>
      </c>
      <c r="F2025" t="s">
        <v>1126</v>
      </c>
    </row>
    <row r="2026" spans="1:6" x14ac:dyDescent="0.2">
      <c r="A2026">
        <v>12854252</v>
      </c>
      <c r="B2026">
        <v>2019</v>
      </c>
      <c r="C2026">
        <v>60.626249999999999</v>
      </c>
      <c r="D2026" t="s">
        <v>586</v>
      </c>
      <c r="E2026" t="s">
        <v>5</v>
      </c>
      <c r="F2026" t="s">
        <v>1126</v>
      </c>
    </row>
    <row r="2027" spans="1:6" x14ac:dyDescent="0.2">
      <c r="A2027">
        <v>12854252</v>
      </c>
      <c r="B2027">
        <v>2018</v>
      </c>
      <c r="C2027">
        <v>61.428571428571402</v>
      </c>
      <c r="D2027" t="s">
        <v>586</v>
      </c>
      <c r="E2027" t="s">
        <v>5</v>
      </c>
      <c r="F2027" t="s">
        <v>1126</v>
      </c>
    </row>
    <row r="2028" spans="1:6" x14ac:dyDescent="0.2">
      <c r="A2028">
        <v>12854252</v>
      </c>
      <c r="B2028">
        <v>2017</v>
      </c>
      <c r="C2028">
        <v>53.2222222222222</v>
      </c>
      <c r="D2028" t="s">
        <v>586</v>
      </c>
      <c r="E2028" t="s">
        <v>5</v>
      </c>
      <c r="F2028" t="s">
        <v>1126</v>
      </c>
    </row>
    <row r="2029" spans="1:6" x14ac:dyDescent="0.2">
      <c r="A2029">
        <v>12854252</v>
      </c>
      <c r="B2029">
        <v>2016</v>
      </c>
      <c r="C2029">
        <v>48.855714285714299</v>
      </c>
      <c r="D2029" t="s">
        <v>586</v>
      </c>
      <c r="E2029" t="s">
        <v>5</v>
      </c>
      <c r="F2029" t="s">
        <v>1126</v>
      </c>
    </row>
    <row r="2030" spans="1:6" x14ac:dyDescent="0.2">
      <c r="A2030">
        <v>80511129</v>
      </c>
      <c r="B2030">
        <v>2019</v>
      </c>
      <c r="C2030">
        <v>61.1666666666667</v>
      </c>
      <c r="D2030" t="s">
        <v>1105</v>
      </c>
      <c r="E2030" t="s">
        <v>836</v>
      </c>
      <c r="F2030" t="s">
        <v>1126</v>
      </c>
    </row>
    <row r="2031" spans="1:6" x14ac:dyDescent="0.2">
      <c r="A2031">
        <v>21006044</v>
      </c>
      <c r="B2031">
        <v>2020</v>
      </c>
      <c r="C2031">
        <v>66.690222222222204</v>
      </c>
      <c r="D2031" t="s">
        <v>8</v>
      </c>
      <c r="E2031" t="s">
        <v>5</v>
      </c>
      <c r="F2031" t="s">
        <v>1126</v>
      </c>
    </row>
    <row r="2032" spans="1:6" x14ac:dyDescent="0.2">
      <c r="A2032">
        <v>21006044</v>
      </c>
      <c r="B2032">
        <v>2019</v>
      </c>
      <c r="C2032">
        <v>63.0148484848485</v>
      </c>
      <c r="D2032" t="s">
        <v>8</v>
      </c>
      <c r="E2032" t="s">
        <v>5</v>
      </c>
      <c r="F2032" t="s">
        <v>1126</v>
      </c>
    </row>
    <row r="2033" spans="1:6" x14ac:dyDescent="0.2">
      <c r="A2033">
        <v>21006044</v>
      </c>
      <c r="B2033">
        <v>2018</v>
      </c>
      <c r="C2033">
        <v>57.4841052631579</v>
      </c>
      <c r="D2033" t="s">
        <v>8</v>
      </c>
      <c r="E2033" t="s">
        <v>5</v>
      </c>
      <c r="F2033" t="s">
        <v>1126</v>
      </c>
    </row>
    <row r="2034" spans="1:6" x14ac:dyDescent="0.2">
      <c r="A2034">
        <v>21006044</v>
      </c>
      <c r="B2034">
        <v>2017</v>
      </c>
      <c r="C2034">
        <v>56.282881355932197</v>
      </c>
      <c r="D2034" t="s">
        <v>8</v>
      </c>
      <c r="E2034" t="s">
        <v>5</v>
      </c>
      <c r="F2034" t="s">
        <v>1126</v>
      </c>
    </row>
    <row r="2035" spans="1:6" x14ac:dyDescent="0.2">
      <c r="A2035">
        <v>21006044</v>
      </c>
      <c r="B2035">
        <v>2016</v>
      </c>
      <c r="C2035">
        <v>50.8416417910448</v>
      </c>
      <c r="D2035" t="s">
        <v>8</v>
      </c>
      <c r="E2035" t="s">
        <v>5</v>
      </c>
      <c r="F2035" t="s">
        <v>1126</v>
      </c>
    </row>
    <row r="2036" spans="1:6" x14ac:dyDescent="0.2">
      <c r="A2036">
        <v>21006044</v>
      </c>
      <c r="B2036">
        <v>2015</v>
      </c>
      <c r="C2036">
        <v>47.606470588235297</v>
      </c>
      <c r="D2036" t="s">
        <v>8</v>
      </c>
      <c r="E2036" t="s">
        <v>5</v>
      </c>
      <c r="F2036" t="s">
        <v>1126</v>
      </c>
    </row>
    <row r="2037" spans="1:6" x14ac:dyDescent="0.2">
      <c r="A2037">
        <v>21006044</v>
      </c>
      <c r="B2037">
        <v>2014</v>
      </c>
      <c r="C2037">
        <v>40.320999999999998</v>
      </c>
      <c r="D2037" t="s">
        <v>8</v>
      </c>
      <c r="E2037" t="s">
        <v>5</v>
      </c>
      <c r="F2037" t="s">
        <v>1126</v>
      </c>
    </row>
    <row r="2038" spans="1:6" x14ac:dyDescent="0.2">
      <c r="A2038">
        <v>21006044</v>
      </c>
      <c r="B2038">
        <v>2013</v>
      </c>
      <c r="C2038">
        <v>37.5</v>
      </c>
      <c r="D2038" t="s">
        <v>8</v>
      </c>
      <c r="E2038" t="s">
        <v>5</v>
      </c>
      <c r="F2038" t="s">
        <v>1126</v>
      </c>
    </row>
    <row r="2039" spans="1:6" x14ac:dyDescent="0.2">
      <c r="A2039">
        <v>21006044</v>
      </c>
      <c r="B2039">
        <v>2012</v>
      </c>
      <c r="C2039">
        <v>41.5</v>
      </c>
      <c r="D2039" t="s">
        <v>8</v>
      </c>
      <c r="E2039" t="s">
        <v>5</v>
      </c>
      <c r="F2039" t="s">
        <v>1126</v>
      </c>
    </row>
    <row r="2040" spans="1:6" x14ac:dyDescent="0.2">
      <c r="A2040">
        <v>21006044</v>
      </c>
      <c r="B2040">
        <v>2011</v>
      </c>
      <c r="C2040">
        <v>43.625</v>
      </c>
      <c r="D2040" t="s">
        <v>8</v>
      </c>
      <c r="E2040" t="s">
        <v>5</v>
      </c>
      <c r="F2040" t="s">
        <v>1126</v>
      </c>
    </row>
    <row r="2041" spans="1:6" x14ac:dyDescent="0.2">
      <c r="A2041">
        <v>21006044</v>
      </c>
      <c r="B2041">
        <v>2010</v>
      </c>
      <c r="C2041">
        <v>35.75</v>
      </c>
      <c r="D2041" t="s">
        <v>8</v>
      </c>
      <c r="E2041" t="s">
        <v>5</v>
      </c>
      <c r="F2041" t="s">
        <v>1126</v>
      </c>
    </row>
    <row r="2042" spans="1:6" x14ac:dyDescent="0.2">
      <c r="A2042">
        <v>37070328</v>
      </c>
      <c r="B2042">
        <v>2020</v>
      </c>
      <c r="C2042">
        <v>52.6</v>
      </c>
      <c r="D2042" t="s">
        <v>783</v>
      </c>
      <c r="E2042" t="s">
        <v>784</v>
      </c>
      <c r="F2042" t="s">
        <v>1126</v>
      </c>
    </row>
    <row r="2043" spans="1:6" x14ac:dyDescent="0.2">
      <c r="A2043">
        <v>37070328</v>
      </c>
      <c r="B2043">
        <v>2019</v>
      </c>
      <c r="C2043">
        <v>53.497999999999998</v>
      </c>
      <c r="D2043" t="s">
        <v>783</v>
      </c>
      <c r="E2043" t="s">
        <v>784</v>
      </c>
      <c r="F2043" t="s">
        <v>1126</v>
      </c>
    </row>
    <row r="2044" spans="1:6" x14ac:dyDescent="0.2">
      <c r="A2044">
        <v>37070328</v>
      </c>
      <c r="B2044">
        <v>2018</v>
      </c>
      <c r="C2044">
        <v>59.181818181818201</v>
      </c>
      <c r="D2044" t="s">
        <v>783</v>
      </c>
      <c r="E2044" t="s">
        <v>784</v>
      </c>
      <c r="F2044" t="s">
        <v>1126</v>
      </c>
    </row>
    <row r="2045" spans="1:6" x14ac:dyDescent="0.2">
      <c r="A2045">
        <v>37070328</v>
      </c>
      <c r="B2045">
        <v>2017</v>
      </c>
      <c r="C2045">
        <v>52.1111111111111</v>
      </c>
      <c r="D2045" t="s">
        <v>783</v>
      </c>
      <c r="E2045" t="s">
        <v>784</v>
      </c>
      <c r="F2045" t="s">
        <v>1126</v>
      </c>
    </row>
    <row r="2046" spans="1:6" x14ac:dyDescent="0.2">
      <c r="A2046">
        <v>37070328</v>
      </c>
      <c r="B2046">
        <v>2016</v>
      </c>
      <c r="C2046">
        <v>55.999166666666703</v>
      </c>
      <c r="D2046" t="s">
        <v>783</v>
      </c>
      <c r="E2046" t="s">
        <v>784</v>
      </c>
      <c r="F2046" t="s">
        <v>1126</v>
      </c>
    </row>
    <row r="2047" spans="1:6" x14ac:dyDescent="0.2">
      <c r="A2047">
        <v>37070328</v>
      </c>
      <c r="B2047">
        <v>2015</v>
      </c>
      <c r="C2047">
        <v>48.25</v>
      </c>
      <c r="D2047" t="s">
        <v>783</v>
      </c>
      <c r="E2047" t="s">
        <v>784</v>
      </c>
      <c r="F2047" t="s">
        <v>1126</v>
      </c>
    </row>
    <row r="2048" spans="1:6" x14ac:dyDescent="0.2">
      <c r="A2048">
        <v>37070328</v>
      </c>
      <c r="B2048">
        <v>2013</v>
      </c>
      <c r="C2048">
        <v>43.3333333333333</v>
      </c>
      <c r="D2048" t="s">
        <v>783</v>
      </c>
      <c r="E2048" t="s">
        <v>784</v>
      </c>
      <c r="F2048" t="s">
        <v>1126</v>
      </c>
    </row>
    <row r="2049" spans="1:6" x14ac:dyDescent="0.2">
      <c r="A2049">
        <v>42796002</v>
      </c>
      <c r="B2049">
        <v>2020</v>
      </c>
      <c r="C2049">
        <v>63.75</v>
      </c>
      <c r="D2049" t="s">
        <v>839</v>
      </c>
      <c r="E2049" t="s">
        <v>123</v>
      </c>
      <c r="F2049" t="s">
        <v>1126</v>
      </c>
    </row>
    <row r="2050" spans="1:6" x14ac:dyDescent="0.2">
      <c r="A2050">
        <v>42796002</v>
      </c>
      <c r="B2050">
        <v>2018</v>
      </c>
      <c r="C2050">
        <v>58.125</v>
      </c>
      <c r="D2050" t="s">
        <v>839</v>
      </c>
      <c r="E2050" t="s">
        <v>123</v>
      </c>
      <c r="F2050" t="s">
        <v>1126</v>
      </c>
    </row>
    <row r="2051" spans="1:6" x14ac:dyDescent="0.2">
      <c r="A2051">
        <v>42796002</v>
      </c>
      <c r="B2051">
        <v>2017</v>
      </c>
      <c r="C2051">
        <v>61</v>
      </c>
      <c r="D2051" t="s">
        <v>839</v>
      </c>
      <c r="E2051" t="s">
        <v>123</v>
      </c>
      <c r="F2051" t="s">
        <v>1126</v>
      </c>
    </row>
    <row r="2052" spans="1:6" x14ac:dyDescent="0.2">
      <c r="A2052">
        <v>63234270</v>
      </c>
      <c r="B2052">
        <v>2017</v>
      </c>
      <c r="C2052">
        <v>12.781471028418</v>
      </c>
      <c r="D2052" t="s">
        <v>716</v>
      </c>
      <c r="E2052" t="s">
        <v>717</v>
      </c>
      <c r="F2052" t="s">
        <v>42</v>
      </c>
    </row>
    <row r="2053" spans="1:6" x14ac:dyDescent="0.2">
      <c r="A2053">
        <v>63234270</v>
      </c>
      <c r="B2053">
        <v>2016</v>
      </c>
      <c r="C2053">
        <v>8.7098150906256304</v>
      </c>
      <c r="D2053" t="s">
        <v>716</v>
      </c>
      <c r="E2053" t="s">
        <v>717</v>
      </c>
      <c r="F2053" t="s">
        <v>42</v>
      </c>
    </row>
    <row r="2054" spans="1:6" x14ac:dyDescent="0.2">
      <c r="A2054">
        <v>63234270</v>
      </c>
      <c r="B2054">
        <v>2015</v>
      </c>
      <c r="C2054">
        <v>12.6105078716118</v>
      </c>
      <c r="D2054" t="s">
        <v>716</v>
      </c>
      <c r="E2054" t="s">
        <v>717</v>
      </c>
      <c r="F2054" t="s">
        <v>42</v>
      </c>
    </row>
    <row r="2055" spans="1:6" x14ac:dyDescent="0.2">
      <c r="A2055">
        <v>19827636</v>
      </c>
      <c r="B2055">
        <v>2020</v>
      </c>
      <c r="C2055">
        <v>8.1483555883097303</v>
      </c>
      <c r="D2055" t="s">
        <v>800</v>
      </c>
      <c r="E2055" t="s">
        <v>801</v>
      </c>
      <c r="F2055" t="s">
        <v>137</v>
      </c>
    </row>
    <row r="2056" spans="1:6" x14ac:dyDescent="0.2">
      <c r="A2056">
        <v>19827636</v>
      </c>
      <c r="B2056">
        <v>2019</v>
      </c>
      <c r="C2056">
        <v>9.2752246194433692</v>
      </c>
      <c r="D2056" t="s">
        <v>800</v>
      </c>
      <c r="E2056" t="s">
        <v>801</v>
      </c>
      <c r="F2056" t="s">
        <v>137</v>
      </c>
    </row>
    <row r="2057" spans="1:6" x14ac:dyDescent="0.2">
      <c r="A2057">
        <v>19827636</v>
      </c>
      <c r="B2057">
        <v>2018</v>
      </c>
      <c r="C2057">
        <v>11.012237697244601</v>
      </c>
      <c r="D2057" t="s">
        <v>800</v>
      </c>
      <c r="E2057" t="s">
        <v>801</v>
      </c>
      <c r="F2057" t="s">
        <v>137</v>
      </c>
    </row>
    <row r="2058" spans="1:6" x14ac:dyDescent="0.2">
      <c r="A2058">
        <v>19827636</v>
      </c>
      <c r="B2058">
        <v>2017</v>
      </c>
      <c r="C2058">
        <v>13.589699784117901</v>
      </c>
      <c r="D2058" t="s">
        <v>800</v>
      </c>
      <c r="E2058" t="s">
        <v>801</v>
      </c>
      <c r="F2058" t="s">
        <v>137</v>
      </c>
    </row>
    <row r="2059" spans="1:6" x14ac:dyDescent="0.2">
      <c r="A2059">
        <v>19827636</v>
      </c>
      <c r="B2059">
        <v>2016</v>
      </c>
      <c r="C2059">
        <v>18.116539740909499</v>
      </c>
      <c r="D2059" t="s">
        <v>800</v>
      </c>
      <c r="E2059" t="s">
        <v>801</v>
      </c>
      <c r="F2059" t="s">
        <v>137</v>
      </c>
    </row>
    <row r="2060" spans="1:6" x14ac:dyDescent="0.2">
      <c r="A2060">
        <v>19827636</v>
      </c>
      <c r="B2060">
        <v>2015</v>
      </c>
      <c r="C2060">
        <v>23.5811979248546</v>
      </c>
      <c r="D2060" t="s">
        <v>800</v>
      </c>
      <c r="E2060" t="s">
        <v>801</v>
      </c>
      <c r="F2060" t="s">
        <v>137</v>
      </c>
    </row>
    <row r="2061" spans="1:6" x14ac:dyDescent="0.2">
      <c r="A2061">
        <v>27940649</v>
      </c>
      <c r="B2061">
        <v>2020</v>
      </c>
      <c r="C2061">
        <v>8.2329891838473603</v>
      </c>
      <c r="D2061" t="s">
        <v>1025</v>
      </c>
      <c r="E2061" t="s">
        <v>547</v>
      </c>
      <c r="F2061" t="s">
        <v>137</v>
      </c>
    </row>
    <row r="2062" spans="1:6" x14ac:dyDescent="0.2">
      <c r="A2062">
        <v>27940649</v>
      </c>
      <c r="B2062">
        <v>2019</v>
      </c>
      <c r="C2062">
        <v>12.0965095461821</v>
      </c>
      <c r="D2062" t="s">
        <v>1025</v>
      </c>
      <c r="E2062" t="s">
        <v>547</v>
      </c>
      <c r="F2062" t="s">
        <v>137</v>
      </c>
    </row>
    <row r="2063" spans="1:6" x14ac:dyDescent="0.2">
      <c r="A2063">
        <v>27940649</v>
      </c>
      <c r="B2063">
        <v>2016</v>
      </c>
      <c r="C2063">
        <v>28.3445861840388</v>
      </c>
      <c r="D2063" t="s">
        <v>1025</v>
      </c>
      <c r="E2063" t="s">
        <v>547</v>
      </c>
      <c r="F2063" t="s">
        <v>137</v>
      </c>
    </row>
    <row r="2064" spans="1:6" x14ac:dyDescent="0.2">
      <c r="A2064">
        <v>27940649</v>
      </c>
      <c r="B2064">
        <v>2015</v>
      </c>
      <c r="C2064">
        <v>27.773410889273201</v>
      </c>
      <c r="D2064" t="s">
        <v>1025</v>
      </c>
      <c r="E2064" t="s">
        <v>547</v>
      </c>
      <c r="F2064" t="s">
        <v>137</v>
      </c>
    </row>
    <row r="2065" spans="1:6" x14ac:dyDescent="0.2">
      <c r="A2065">
        <v>27940649</v>
      </c>
      <c r="B2065">
        <v>2014</v>
      </c>
      <c r="C2065">
        <v>21.757535711931901</v>
      </c>
      <c r="D2065" t="s">
        <v>1025</v>
      </c>
      <c r="E2065" t="s">
        <v>547</v>
      </c>
      <c r="F2065" t="s">
        <v>137</v>
      </c>
    </row>
    <row r="2066" spans="1:6" x14ac:dyDescent="0.2">
      <c r="A2066">
        <v>80999001</v>
      </c>
      <c r="B2066">
        <v>2019</v>
      </c>
      <c r="C2066">
        <v>47.783037021857197</v>
      </c>
      <c r="D2066" t="s">
        <v>485</v>
      </c>
      <c r="E2066" t="s">
        <v>486</v>
      </c>
      <c r="F2066" t="s">
        <v>11</v>
      </c>
    </row>
    <row r="2067" spans="1:6" x14ac:dyDescent="0.2">
      <c r="A2067">
        <v>80999001</v>
      </c>
      <c r="B2067">
        <v>2018</v>
      </c>
      <c r="C2067">
        <v>60.069484870420297</v>
      </c>
      <c r="D2067" t="s">
        <v>485</v>
      </c>
      <c r="E2067" t="s">
        <v>486</v>
      </c>
      <c r="F2067" t="s">
        <v>11</v>
      </c>
    </row>
    <row r="2068" spans="1:6" x14ac:dyDescent="0.2">
      <c r="A2068">
        <v>80999001</v>
      </c>
      <c r="B2068">
        <v>2015</v>
      </c>
      <c r="C2068">
        <v>61.343204653622401</v>
      </c>
      <c r="D2068" t="s">
        <v>485</v>
      </c>
      <c r="E2068" t="s">
        <v>486</v>
      </c>
      <c r="F2068" t="s">
        <v>11</v>
      </c>
    </row>
    <row r="2069" spans="1:6" x14ac:dyDescent="0.2">
      <c r="A2069">
        <v>80999001</v>
      </c>
      <c r="B2069">
        <v>2013</v>
      </c>
      <c r="C2069">
        <v>57.9861111111111</v>
      </c>
      <c r="D2069" t="s">
        <v>485</v>
      </c>
      <c r="E2069" t="s">
        <v>486</v>
      </c>
      <c r="F2069" t="s">
        <v>11</v>
      </c>
    </row>
    <row r="2070" spans="1:6" x14ac:dyDescent="0.2">
      <c r="A2070">
        <v>52298314</v>
      </c>
      <c r="B2070">
        <v>2020</v>
      </c>
      <c r="C2070">
        <v>60.293268513501999</v>
      </c>
      <c r="D2070" t="s">
        <v>254</v>
      </c>
      <c r="E2070"/>
      <c r="F2070" t="s">
        <v>254</v>
      </c>
    </row>
    <row r="2071" spans="1:6" x14ac:dyDescent="0.2">
      <c r="A2071">
        <v>52298314</v>
      </c>
      <c r="B2071">
        <v>2019</v>
      </c>
      <c r="C2071">
        <v>52.5470062509172</v>
      </c>
      <c r="D2071" t="s">
        <v>254</v>
      </c>
      <c r="E2071"/>
      <c r="F2071" t="s">
        <v>254</v>
      </c>
    </row>
    <row r="2072" spans="1:6" x14ac:dyDescent="0.2">
      <c r="A2072">
        <v>52298314</v>
      </c>
      <c r="B2072">
        <v>2018</v>
      </c>
      <c r="C2072">
        <v>56.193798902253903</v>
      </c>
      <c r="D2072" t="s">
        <v>254</v>
      </c>
      <c r="E2072"/>
      <c r="F2072" t="s">
        <v>254</v>
      </c>
    </row>
    <row r="2073" spans="1:6" x14ac:dyDescent="0.2">
      <c r="A2073">
        <v>52298314</v>
      </c>
      <c r="B2073">
        <v>2017</v>
      </c>
      <c r="C2073">
        <v>49.174962968066403</v>
      </c>
      <c r="D2073" t="s">
        <v>254</v>
      </c>
      <c r="E2073"/>
      <c r="F2073" t="s">
        <v>254</v>
      </c>
    </row>
    <row r="2074" spans="1:6" x14ac:dyDescent="0.2">
      <c r="A2074">
        <v>52298314</v>
      </c>
      <c r="B2074">
        <v>2016</v>
      </c>
      <c r="C2074">
        <v>44.589137732513798</v>
      </c>
      <c r="D2074" t="s">
        <v>254</v>
      </c>
      <c r="E2074"/>
      <c r="F2074" t="s">
        <v>254</v>
      </c>
    </row>
    <row r="2075" spans="1:6" x14ac:dyDescent="0.2">
      <c r="A2075">
        <v>52298314</v>
      </c>
      <c r="B2075">
        <v>2015</v>
      </c>
      <c r="C2075">
        <v>43.9587128111718</v>
      </c>
      <c r="D2075" t="s">
        <v>254</v>
      </c>
      <c r="E2075"/>
      <c r="F2075" t="s">
        <v>254</v>
      </c>
    </row>
    <row r="2076" spans="1:6" x14ac:dyDescent="0.2">
      <c r="A2076">
        <v>52298314</v>
      </c>
      <c r="B2076">
        <v>2014</v>
      </c>
      <c r="C2076">
        <v>51.367532997686801</v>
      </c>
      <c r="D2076" t="s">
        <v>254</v>
      </c>
      <c r="E2076"/>
      <c r="F2076" t="s">
        <v>254</v>
      </c>
    </row>
    <row r="2077" spans="1:6" x14ac:dyDescent="0.2">
      <c r="A2077">
        <v>52298314</v>
      </c>
      <c r="B2077">
        <v>2012</v>
      </c>
      <c r="C2077">
        <v>52.469135802469097</v>
      </c>
      <c r="D2077" t="s">
        <v>254</v>
      </c>
      <c r="E2077"/>
      <c r="F2077" t="s">
        <v>254</v>
      </c>
    </row>
    <row r="2078" spans="1:6" x14ac:dyDescent="0.2">
      <c r="A2078">
        <v>42166347</v>
      </c>
      <c r="B2078">
        <v>2020</v>
      </c>
      <c r="C2078">
        <v>5.0432787310773399</v>
      </c>
      <c r="D2078" t="s">
        <v>703</v>
      </c>
      <c r="E2078" t="s">
        <v>704</v>
      </c>
      <c r="F2078" t="s">
        <v>268</v>
      </c>
    </row>
    <row r="2079" spans="1:6" x14ac:dyDescent="0.2">
      <c r="A2079">
        <v>42166347</v>
      </c>
      <c r="B2079">
        <v>2019</v>
      </c>
      <c r="C2079">
        <v>4.3923909628420201</v>
      </c>
      <c r="D2079" t="s">
        <v>703</v>
      </c>
      <c r="E2079" t="s">
        <v>704</v>
      </c>
      <c r="F2079" t="s">
        <v>268</v>
      </c>
    </row>
    <row r="2080" spans="1:6" x14ac:dyDescent="0.2">
      <c r="A2080">
        <v>42166347</v>
      </c>
      <c r="B2080">
        <v>2018</v>
      </c>
      <c r="C2080">
        <v>4.0560798435261098</v>
      </c>
      <c r="D2080" t="s">
        <v>703</v>
      </c>
      <c r="E2080" t="s">
        <v>704</v>
      </c>
      <c r="F2080" t="s">
        <v>268</v>
      </c>
    </row>
    <row r="2081" spans="1:6" x14ac:dyDescent="0.2">
      <c r="A2081">
        <v>42166347</v>
      </c>
      <c r="B2081">
        <v>2017</v>
      </c>
      <c r="C2081">
        <v>3.6776544579132899</v>
      </c>
      <c r="D2081" t="s">
        <v>703</v>
      </c>
      <c r="E2081" t="s">
        <v>704</v>
      </c>
      <c r="F2081" t="s">
        <v>268</v>
      </c>
    </row>
    <row r="2082" spans="1:6" x14ac:dyDescent="0.2">
      <c r="A2082">
        <v>42166347</v>
      </c>
      <c r="B2082">
        <v>2016</v>
      </c>
      <c r="C2082">
        <v>2.98825568329453</v>
      </c>
      <c r="D2082" t="s">
        <v>703</v>
      </c>
      <c r="E2082" t="s">
        <v>704</v>
      </c>
      <c r="F2082" t="s">
        <v>268</v>
      </c>
    </row>
    <row r="2083" spans="1:6" x14ac:dyDescent="0.2">
      <c r="A2083">
        <v>42166347</v>
      </c>
      <c r="B2083">
        <v>2015</v>
      </c>
      <c r="C2083">
        <v>3.0961825630208901</v>
      </c>
      <c r="D2083" t="s">
        <v>703</v>
      </c>
      <c r="E2083" t="s">
        <v>704</v>
      </c>
      <c r="F2083" t="s">
        <v>268</v>
      </c>
    </row>
    <row r="2084" spans="1:6" x14ac:dyDescent="0.2">
      <c r="A2084">
        <v>42166347</v>
      </c>
      <c r="B2084">
        <v>2014</v>
      </c>
      <c r="C2084">
        <v>4.1876625857270202</v>
      </c>
      <c r="D2084" t="s">
        <v>703</v>
      </c>
      <c r="E2084" t="s">
        <v>704</v>
      </c>
      <c r="F2084" t="s">
        <v>268</v>
      </c>
    </row>
    <row r="2085" spans="1:6" x14ac:dyDescent="0.2">
      <c r="A2085">
        <v>42166347</v>
      </c>
      <c r="B2085">
        <v>2013</v>
      </c>
      <c r="C2085">
        <v>7.2553897180762901</v>
      </c>
      <c r="D2085" t="s">
        <v>703</v>
      </c>
      <c r="E2085" t="s">
        <v>704</v>
      </c>
      <c r="F2085" t="s">
        <v>268</v>
      </c>
    </row>
    <row r="2086" spans="1:6" x14ac:dyDescent="0.2">
      <c r="A2086">
        <v>19628710</v>
      </c>
      <c r="B2086">
        <v>2020</v>
      </c>
      <c r="C2086">
        <v>57.221111111111099</v>
      </c>
      <c r="D2086" t="s">
        <v>785</v>
      </c>
      <c r="E2086" t="s">
        <v>719</v>
      </c>
      <c r="F2086" t="s">
        <v>1126</v>
      </c>
    </row>
    <row r="2087" spans="1:6" x14ac:dyDescent="0.2">
      <c r="A2087">
        <v>19628710</v>
      </c>
      <c r="B2087">
        <v>2019</v>
      </c>
      <c r="C2087">
        <v>55.133499999999998</v>
      </c>
      <c r="D2087" t="s">
        <v>785</v>
      </c>
      <c r="E2087" t="s">
        <v>719</v>
      </c>
      <c r="F2087" t="s">
        <v>1126</v>
      </c>
    </row>
    <row r="2088" spans="1:6" x14ac:dyDescent="0.2">
      <c r="A2088">
        <v>19628710</v>
      </c>
      <c r="B2088">
        <v>2018</v>
      </c>
      <c r="C2088">
        <v>53.090909090909101</v>
      </c>
      <c r="D2088" t="s">
        <v>785</v>
      </c>
      <c r="E2088" t="s">
        <v>719</v>
      </c>
      <c r="F2088" t="s">
        <v>1126</v>
      </c>
    </row>
    <row r="2089" spans="1:6" x14ac:dyDescent="0.2">
      <c r="A2089">
        <v>19628710</v>
      </c>
      <c r="B2089">
        <v>2017</v>
      </c>
      <c r="C2089">
        <v>57.254615384615398</v>
      </c>
      <c r="D2089" t="s">
        <v>785</v>
      </c>
      <c r="E2089" t="s">
        <v>719</v>
      </c>
      <c r="F2089" t="s">
        <v>1126</v>
      </c>
    </row>
    <row r="2090" spans="1:6" x14ac:dyDescent="0.2">
      <c r="A2090">
        <v>19628710</v>
      </c>
      <c r="B2090">
        <v>2016</v>
      </c>
      <c r="C2090">
        <v>50.9375</v>
      </c>
      <c r="D2090" t="s">
        <v>785</v>
      </c>
      <c r="E2090" t="s">
        <v>719</v>
      </c>
      <c r="F2090" t="s">
        <v>1126</v>
      </c>
    </row>
    <row r="2091" spans="1:6" x14ac:dyDescent="0.2">
      <c r="A2091">
        <v>19628710</v>
      </c>
      <c r="B2091">
        <v>2015</v>
      </c>
      <c r="C2091">
        <v>45.454545454545503</v>
      </c>
      <c r="D2091" t="s">
        <v>785</v>
      </c>
      <c r="E2091" t="s">
        <v>719</v>
      </c>
      <c r="F2091" t="s">
        <v>1126</v>
      </c>
    </row>
    <row r="2092" spans="1:6" x14ac:dyDescent="0.2">
      <c r="A2092">
        <v>19628710</v>
      </c>
      <c r="B2092">
        <v>2014</v>
      </c>
      <c r="C2092">
        <v>37.5</v>
      </c>
      <c r="D2092" t="s">
        <v>785</v>
      </c>
      <c r="E2092" t="s">
        <v>719</v>
      </c>
      <c r="F2092" t="s">
        <v>1126</v>
      </c>
    </row>
    <row r="2093" spans="1:6" x14ac:dyDescent="0.2">
      <c r="A2093">
        <v>19628710</v>
      </c>
      <c r="B2093">
        <v>2013</v>
      </c>
      <c r="C2093">
        <v>31.247499999999999</v>
      </c>
      <c r="D2093" t="s">
        <v>785</v>
      </c>
      <c r="E2093" t="s">
        <v>719</v>
      </c>
      <c r="F2093" t="s">
        <v>1126</v>
      </c>
    </row>
    <row r="2094" spans="1:6" x14ac:dyDescent="0.2">
      <c r="A2094">
        <v>66392910</v>
      </c>
      <c r="B2094">
        <v>2020</v>
      </c>
      <c r="C2094">
        <v>46.863788903590901</v>
      </c>
      <c r="D2094" t="s">
        <v>316</v>
      </c>
      <c r="E2094" t="s">
        <v>317</v>
      </c>
      <c r="F2094" t="s">
        <v>191</v>
      </c>
    </row>
    <row r="2095" spans="1:6" x14ac:dyDescent="0.2">
      <c r="A2095">
        <v>66392910</v>
      </c>
      <c r="B2095">
        <v>2019</v>
      </c>
      <c r="C2095">
        <v>46.819423125527798</v>
      </c>
      <c r="D2095" t="s">
        <v>316</v>
      </c>
      <c r="E2095" t="s">
        <v>317</v>
      </c>
      <c r="F2095" t="s">
        <v>191</v>
      </c>
    </row>
    <row r="2096" spans="1:6" x14ac:dyDescent="0.2">
      <c r="A2096">
        <v>66392910</v>
      </c>
      <c r="B2096">
        <v>2018</v>
      </c>
      <c r="C2096">
        <v>49.2015064813734</v>
      </c>
      <c r="D2096" t="s">
        <v>316</v>
      </c>
      <c r="E2096" t="s">
        <v>317</v>
      </c>
      <c r="F2096" t="s">
        <v>191</v>
      </c>
    </row>
    <row r="2097" spans="1:6" x14ac:dyDescent="0.2">
      <c r="A2097">
        <v>66392910</v>
      </c>
      <c r="B2097">
        <v>2017</v>
      </c>
      <c r="C2097">
        <v>41.116760183697302</v>
      </c>
      <c r="D2097" t="s">
        <v>316</v>
      </c>
      <c r="E2097" t="s">
        <v>317</v>
      </c>
      <c r="F2097" t="s">
        <v>191</v>
      </c>
    </row>
    <row r="2098" spans="1:6" x14ac:dyDescent="0.2">
      <c r="A2098">
        <v>66392910</v>
      </c>
      <c r="B2098">
        <v>2016</v>
      </c>
      <c r="C2098">
        <v>38.975110231779503</v>
      </c>
      <c r="D2098" t="s">
        <v>316</v>
      </c>
      <c r="E2098" t="s">
        <v>317</v>
      </c>
      <c r="F2098" t="s">
        <v>191</v>
      </c>
    </row>
    <row r="2099" spans="1:6" x14ac:dyDescent="0.2">
      <c r="A2099">
        <v>66392910</v>
      </c>
      <c r="B2099">
        <v>2015</v>
      </c>
      <c r="C2099">
        <v>36.596409055425397</v>
      </c>
      <c r="D2099" t="s">
        <v>316</v>
      </c>
      <c r="E2099" t="s">
        <v>317</v>
      </c>
      <c r="F2099" t="s">
        <v>191</v>
      </c>
    </row>
    <row r="2100" spans="1:6" x14ac:dyDescent="0.2">
      <c r="A2100">
        <v>66392910</v>
      </c>
      <c r="B2100">
        <v>2014</v>
      </c>
      <c r="C2100">
        <v>47.996635287423203</v>
      </c>
      <c r="D2100" t="s">
        <v>316</v>
      </c>
      <c r="E2100" t="s">
        <v>317</v>
      </c>
      <c r="F2100" t="s">
        <v>191</v>
      </c>
    </row>
    <row r="2101" spans="1:6" x14ac:dyDescent="0.2">
      <c r="A2101">
        <v>66392910</v>
      </c>
      <c r="B2101">
        <v>2013</v>
      </c>
      <c r="C2101">
        <v>45.852272727272698</v>
      </c>
      <c r="D2101" t="s">
        <v>316</v>
      </c>
      <c r="E2101" t="s">
        <v>317</v>
      </c>
      <c r="F2101" t="s">
        <v>191</v>
      </c>
    </row>
    <row r="2102" spans="1:6" x14ac:dyDescent="0.2">
      <c r="A2102">
        <v>66392910</v>
      </c>
      <c r="B2102">
        <v>2012</v>
      </c>
      <c r="C2102">
        <v>39.986282578875198</v>
      </c>
      <c r="D2102" t="s">
        <v>316</v>
      </c>
      <c r="E2102" t="s">
        <v>317</v>
      </c>
      <c r="F2102" t="s">
        <v>191</v>
      </c>
    </row>
    <row r="2103" spans="1:6" x14ac:dyDescent="0.2">
      <c r="A2103">
        <v>66392910</v>
      </c>
      <c r="B2103">
        <v>2011</v>
      </c>
      <c r="C2103">
        <v>51.127214170692397</v>
      </c>
      <c r="D2103" t="s">
        <v>316</v>
      </c>
      <c r="E2103" t="s">
        <v>317</v>
      </c>
      <c r="F2103" t="s">
        <v>191</v>
      </c>
    </row>
    <row r="2104" spans="1:6" x14ac:dyDescent="0.2">
      <c r="A2104">
        <v>66392910</v>
      </c>
      <c r="B2104">
        <v>2010</v>
      </c>
      <c r="C2104">
        <v>49.382716049382701</v>
      </c>
      <c r="D2104" t="s">
        <v>316</v>
      </c>
      <c r="E2104" t="s">
        <v>317</v>
      </c>
      <c r="F2104" t="s">
        <v>191</v>
      </c>
    </row>
    <row r="2105" spans="1:6" x14ac:dyDescent="0.2">
      <c r="A2105">
        <v>22559097</v>
      </c>
      <c r="B2105">
        <v>2019</v>
      </c>
      <c r="C2105">
        <v>52.255279257687597</v>
      </c>
      <c r="D2105" t="s">
        <v>192</v>
      </c>
      <c r="E2105" t="s">
        <v>176</v>
      </c>
      <c r="F2105" t="s">
        <v>177</v>
      </c>
    </row>
    <row r="2106" spans="1:6" x14ac:dyDescent="0.2">
      <c r="A2106">
        <v>22559097</v>
      </c>
      <c r="B2106">
        <v>2016</v>
      </c>
      <c r="C2106">
        <v>65.962542156122097</v>
      </c>
      <c r="D2106" t="s">
        <v>192</v>
      </c>
      <c r="E2106" t="s">
        <v>176</v>
      </c>
      <c r="F2106" t="s">
        <v>177</v>
      </c>
    </row>
    <row r="2107" spans="1:6" x14ac:dyDescent="0.2">
      <c r="A2107">
        <v>22559097</v>
      </c>
      <c r="B2107">
        <v>2015</v>
      </c>
      <c r="C2107">
        <v>43.751009638684003</v>
      </c>
      <c r="D2107" t="s">
        <v>192</v>
      </c>
      <c r="E2107" t="s">
        <v>176</v>
      </c>
      <c r="F2107" t="s">
        <v>177</v>
      </c>
    </row>
    <row r="2108" spans="1:6" x14ac:dyDescent="0.2">
      <c r="A2108">
        <v>22559097</v>
      </c>
      <c r="B2108">
        <v>2014</v>
      </c>
      <c r="C2108">
        <v>40.288955429012802</v>
      </c>
      <c r="D2108" t="s">
        <v>192</v>
      </c>
      <c r="E2108" t="s">
        <v>176</v>
      </c>
      <c r="F2108" t="s">
        <v>177</v>
      </c>
    </row>
    <row r="2109" spans="1:6" x14ac:dyDescent="0.2">
      <c r="A2109">
        <v>22559097</v>
      </c>
      <c r="B2109">
        <v>2013</v>
      </c>
      <c r="C2109">
        <v>51.452544922029603</v>
      </c>
      <c r="D2109" t="s">
        <v>192</v>
      </c>
      <c r="E2109" t="s">
        <v>176</v>
      </c>
      <c r="F2109" t="s">
        <v>177</v>
      </c>
    </row>
    <row r="2110" spans="1:6" x14ac:dyDescent="0.2">
      <c r="A2110">
        <v>22559097</v>
      </c>
      <c r="B2110">
        <v>2012</v>
      </c>
      <c r="C2110">
        <v>92.156682027649794</v>
      </c>
      <c r="D2110" t="s">
        <v>192</v>
      </c>
      <c r="E2110" t="s">
        <v>176</v>
      </c>
      <c r="F2110" t="s">
        <v>177</v>
      </c>
    </row>
    <row r="2111" spans="1:6" x14ac:dyDescent="0.2">
      <c r="A2111">
        <v>86042803</v>
      </c>
      <c r="B2111">
        <v>2020</v>
      </c>
      <c r="C2111">
        <v>49.544965674802398</v>
      </c>
      <c r="D2111" t="s">
        <v>514</v>
      </c>
      <c r="E2111" t="s">
        <v>506</v>
      </c>
      <c r="F2111" t="s">
        <v>191</v>
      </c>
    </row>
    <row r="2112" spans="1:6" x14ac:dyDescent="0.2">
      <c r="A2112">
        <v>86042803</v>
      </c>
      <c r="B2112">
        <v>2019</v>
      </c>
      <c r="C2112">
        <v>41.037035378748897</v>
      </c>
      <c r="D2112" t="s">
        <v>514</v>
      </c>
      <c r="E2112" t="s">
        <v>506</v>
      </c>
      <c r="F2112" t="s">
        <v>191</v>
      </c>
    </row>
    <row r="2113" spans="1:6" x14ac:dyDescent="0.2">
      <c r="A2113">
        <v>86042803</v>
      </c>
      <c r="B2113">
        <v>2018</v>
      </c>
      <c r="C2113">
        <v>48.380907892761201</v>
      </c>
      <c r="D2113" t="s">
        <v>514</v>
      </c>
      <c r="E2113" t="s">
        <v>506</v>
      </c>
      <c r="F2113" t="s">
        <v>191</v>
      </c>
    </row>
    <row r="2114" spans="1:6" x14ac:dyDescent="0.2">
      <c r="A2114">
        <v>86042803</v>
      </c>
      <c r="B2114">
        <v>2017</v>
      </c>
      <c r="C2114">
        <v>42.441884134674098</v>
      </c>
      <c r="D2114" t="s">
        <v>514</v>
      </c>
      <c r="E2114" t="s">
        <v>506</v>
      </c>
      <c r="F2114" t="s">
        <v>191</v>
      </c>
    </row>
    <row r="2115" spans="1:6" x14ac:dyDescent="0.2">
      <c r="A2115">
        <v>86042803</v>
      </c>
      <c r="B2115">
        <v>2016</v>
      </c>
      <c r="C2115">
        <v>37.121126121012601</v>
      </c>
      <c r="D2115" t="s">
        <v>514</v>
      </c>
      <c r="E2115" t="s">
        <v>506</v>
      </c>
      <c r="F2115" t="s">
        <v>191</v>
      </c>
    </row>
    <row r="2116" spans="1:6" x14ac:dyDescent="0.2">
      <c r="A2116">
        <v>86042803</v>
      </c>
      <c r="B2116">
        <v>2015</v>
      </c>
      <c r="C2116">
        <v>34.348165495706503</v>
      </c>
      <c r="D2116" t="s">
        <v>514</v>
      </c>
      <c r="E2116" t="s">
        <v>506</v>
      </c>
      <c r="F2116" t="s">
        <v>191</v>
      </c>
    </row>
    <row r="2117" spans="1:6" x14ac:dyDescent="0.2">
      <c r="A2117">
        <v>86042803</v>
      </c>
      <c r="B2117">
        <v>2014</v>
      </c>
      <c r="C2117">
        <v>49.439833083866297</v>
      </c>
      <c r="D2117" t="s">
        <v>514</v>
      </c>
      <c r="E2117" t="s">
        <v>506</v>
      </c>
      <c r="F2117" t="s">
        <v>191</v>
      </c>
    </row>
    <row r="2118" spans="1:6" x14ac:dyDescent="0.2">
      <c r="A2118">
        <v>86042803</v>
      </c>
      <c r="B2118">
        <v>2013</v>
      </c>
      <c r="C2118">
        <v>41.125541125541098</v>
      </c>
      <c r="D2118" t="s">
        <v>514</v>
      </c>
      <c r="E2118" t="s">
        <v>506</v>
      </c>
      <c r="F2118" t="s">
        <v>191</v>
      </c>
    </row>
    <row r="2119" spans="1:6" x14ac:dyDescent="0.2">
      <c r="A2119">
        <v>97066708</v>
      </c>
      <c r="B2119">
        <v>2018</v>
      </c>
      <c r="C2119">
        <v>94.552810339699604</v>
      </c>
      <c r="D2119" t="s">
        <v>524</v>
      </c>
      <c r="E2119" t="s">
        <v>525</v>
      </c>
      <c r="F2119" t="s">
        <v>526</v>
      </c>
    </row>
    <row r="2120" spans="1:6" x14ac:dyDescent="0.2">
      <c r="A2120">
        <v>97066708</v>
      </c>
      <c r="B2120">
        <v>2016</v>
      </c>
      <c r="C2120">
        <v>85.663198959687904</v>
      </c>
      <c r="D2120" t="s">
        <v>524</v>
      </c>
      <c r="E2120" t="s">
        <v>525</v>
      </c>
      <c r="F2120" t="s">
        <v>526</v>
      </c>
    </row>
    <row r="2121" spans="1:6" x14ac:dyDescent="0.2">
      <c r="A2121">
        <v>97066708</v>
      </c>
      <c r="B2121">
        <v>2014</v>
      </c>
      <c r="C2121">
        <v>75.492104693921704</v>
      </c>
      <c r="D2121" t="s">
        <v>524</v>
      </c>
      <c r="E2121" t="s">
        <v>525</v>
      </c>
      <c r="F2121" t="s">
        <v>526</v>
      </c>
    </row>
    <row r="2122" spans="1:6" x14ac:dyDescent="0.2">
      <c r="A2122">
        <v>78309336</v>
      </c>
      <c r="B2122">
        <v>2019</v>
      </c>
      <c r="C2122">
        <v>62.548303466525098</v>
      </c>
      <c r="D2122" t="s">
        <v>356</v>
      </c>
      <c r="E2122" t="s">
        <v>357</v>
      </c>
      <c r="F2122" t="s">
        <v>358</v>
      </c>
    </row>
    <row r="2123" spans="1:6" x14ac:dyDescent="0.2">
      <c r="A2123">
        <v>78309336</v>
      </c>
      <c r="B2123">
        <v>2018</v>
      </c>
      <c r="C2123">
        <v>57.139433813835602</v>
      </c>
      <c r="D2123" t="s">
        <v>356</v>
      </c>
      <c r="E2123" t="s">
        <v>357</v>
      </c>
      <c r="F2123" t="s">
        <v>358</v>
      </c>
    </row>
    <row r="2124" spans="1:6" x14ac:dyDescent="0.2">
      <c r="A2124">
        <v>42617842</v>
      </c>
      <c r="B2124">
        <v>2020</v>
      </c>
      <c r="C2124">
        <v>60.520307693591903</v>
      </c>
      <c r="D2124" t="s">
        <v>414</v>
      </c>
      <c r="E2124" t="s">
        <v>415</v>
      </c>
      <c r="F2124" t="s">
        <v>416</v>
      </c>
    </row>
    <row r="2125" spans="1:6" x14ac:dyDescent="0.2">
      <c r="A2125">
        <v>42617842</v>
      </c>
      <c r="B2125">
        <v>2019</v>
      </c>
      <c r="C2125">
        <v>52.424189706916003</v>
      </c>
      <c r="D2125" t="s">
        <v>414</v>
      </c>
      <c r="E2125" t="s">
        <v>415</v>
      </c>
      <c r="F2125" t="s">
        <v>416</v>
      </c>
    </row>
    <row r="2126" spans="1:6" x14ac:dyDescent="0.2">
      <c r="A2126">
        <v>42617842</v>
      </c>
      <c r="B2126">
        <v>2018</v>
      </c>
      <c r="C2126">
        <v>41.300762210861599</v>
      </c>
      <c r="D2126" t="s">
        <v>414</v>
      </c>
      <c r="E2126" t="s">
        <v>415</v>
      </c>
      <c r="F2126" t="s">
        <v>416</v>
      </c>
    </row>
    <row r="2127" spans="1:6" x14ac:dyDescent="0.2">
      <c r="A2127">
        <v>42617842</v>
      </c>
      <c r="B2127">
        <v>2017</v>
      </c>
      <c r="C2127">
        <v>45.723222095581399</v>
      </c>
      <c r="D2127" t="s">
        <v>414</v>
      </c>
      <c r="E2127" t="s">
        <v>415</v>
      </c>
      <c r="F2127" t="s">
        <v>416</v>
      </c>
    </row>
    <row r="2128" spans="1:6" x14ac:dyDescent="0.2">
      <c r="A2128">
        <v>42617842</v>
      </c>
      <c r="B2128">
        <v>2016</v>
      </c>
      <c r="C2128">
        <v>36.756347101174697</v>
      </c>
      <c r="D2128" t="s">
        <v>414</v>
      </c>
      <c r="E2128" t="s">
        <v>415</v>
      </c>
      <c r="F2128" t="s">
        <v>416</v>
      </c>
    </row>
    <row r="2129" spans="1:6" x14ac:dyDescent="0.2">
      <c r="A2129">
        <v>42617842</v>
      </c>
      <c r="B2129">
        <v>2015</v>
      </c>
      <c r="C2129">
        <v>44.0981432360743</v>
      </c>
      <c r="D2129" t="s">
        <v>414</v>
      </c>
      <c r="E2129" t="s">
        <v>415</v>
      </c>
      <c r="F2129" t="s">
        <v>416</v>
      </c>
    </row>
    <row r="2130" spans="1:6" x14ac:dyDescent="0.2">
      <c r="A2130">
        <v>42617842</v>
      </c>
      <c r="B2130">
        <v>2014</v>
      </c>
      <c r="C2130">
        <v>46.271735926908299</v>
      </c>
      <c r="D2130" t="s">
        <v>414</v>
      </c>
      <c r="E2130" t="s">
        <v>415</v>
      </c>
      <c r="F2130" t="s">
        <v>416</v>
      </c>
    </row>
    <row r="2131" spans="1:6" x14ac:dyDescent="0.2">
      <c r="A2131">
        <v>42617842</v>
      </c>
      <c r="B2131">
        <v>2013</v>
      </c>
      <c r="C2131">
        <v>51.351351351351397</v>
      </c>
      <c r="D2131" t="s">
        <v>414</v>
      </c>
      <c r="E2131" t="s">
        <v>415</v>
      </c>
      <c r="F2131" t="s">
        <v>416</v>
      </c>
    </row>
    <row r="2132" spans="1:6" x14ac:dyDescent="0.2">
      <c r="A2132">
        <v>42617842</v>
      </c>
      <c r="B2132">
        <v>2012</v>
      </c>
      <c r="C2132">
        <v>60.192322861465897</v>
      </c>
      <c r="D2132" t="s">
        <v>414</v>
      </c>
      <c r="E2132" t="s">
        <v>415</v>
      </c>
      <c r="F2132" t="s">
        <v>416</v>
      </c>
    </row>
    <row r="2133" spans="1:6" x14ac:dyDescent="0.2">
      <c r="A2133">
        <v>39953818</v>
      </c>
      <c r="B2133">
        <v>2020</v>
      </c>
      <c r="C2133">
        <v>23.6797746682495</v>
      </c>
      <c r="D2133" t="s">
        <v>739</v>
      </c>
      <c r="E2133" t="s">
        <v>740</v>
      </c>
      <c r="F2133" t="s">
        <v>35</v>
      </c>
    </row>
    <row r="2134" spans="1:6" x14ac:dyDescent="0.2">
      <c r="A2134">
        <v>39953818</v>
      </c>
      <c r="B2134">
        <v>2019</v>
      </c>
      <c r="C2134">
        <v>29.660585057588399</v>
      </c>
      <c r="D2134" t="s">
        <v>739</v>
      </c>
      <c r="E2134" t="s">
        <v>740</v>
      </c>
      <c r="F2134" t="s">
        <v>35</v>
      </c>
    </row>
    <row r="2135" spans="1:6" x14ac:dyDescent="0.2">
      <c r="A2135">
        <v>39953818</v>
      </c>
      <c r="B2135">
        <v>2018</v>
      </c>
      <c r="C2135">
        <v>47.268625449857701</v>
      </c>
      <c r="D2135" t="s">
        <v>739</v>
      </c>
      <c r="E2135" t="s">
        <v>740</v>
      </c>
      <c r="F2135" t="s">
        <v>35</v>
      </c>
    </row>
    <row r="2136" spans="1:6" x14ac:dyDescent="0.2">
      <c r="A2136">
        <v>39953818</v>
      </c>
      <c r="B2136">
        <v>2017</v>
      </c>
      <c r="C2136">
        <v>41.749472821882101</v>
      </c>
      <c r="D2136" t="s">
        <v>739</v>
      </c>
      <c r="E2136" t="s">
        <v>740</v>
      </c>
      <c r="F2136" t="s">
        <v>35</v>
      </c>
    </row>
    <row r="2137" spans="1:6" x14ac:dyDescent="0.2">
      <c r="A2137">
        <v>39953818</v>
      </c>
      <c r="B2137">
        <v>2016</v>
      </c>
      <c r="C2137">
        <v>31.701201763739601</v>
      </c>
      <c r="D2137" t="s">
        <v>739</v>
      </c>
      <c r="E2137" t="s">
        <v>740</v>
      </c>
      <c r="F2137" t="s">
        <v>35</v>
      </c>
    </row>
    <row r="2138" spans="1:6" x14ac:dyDescent="0.2">
      <c r="A2138">
        <v>45039489</v>
      </c>
      <c r="B2138">
        <v>2020</v>
      </c>
      <c r="C2138">
        <v>38.216541150590402</v>
      </c>
      <c r="D2138" t="s">
        <v>592</v>
      </c>
      <c r="E2138" t="s">
        <v>18</v>
      </c>
      <c r="F2138" t="s">
        <v>19</v>
      </c>
    </row>
    <row r="2139" spans="1:6" x14ac:dyDescent="0.2">
      <c r="A2139">
        <v>45039489</v>
      </c>
      <c r="B2139">
        <v>2019</v>
      </c>
      <c r="C2139">
        <v>37.676344551976499</v>
      </c>
      <c r="D2139" t="s">
        <v>592</v>
      </c>
      <c r="E2139" t="s">
        <v>18</v>
      </c>
      <c r="F2139" t="s">
        <v>19</v>
      </c>
    </row>
    <row r="2140" spans="1:6" x14ac:dyDescent="0.2">
      <c r="A2140">
        <v>45039489</v>
      </c>
      <c r="B2140">
        <v>2018</v>
      </c>
      <c r="C2140">
        <v>36.803371851985503</v>
      </c>
      <c r="D2140" t="s">
        <v>592</v>
      </c>
      <c r="E2140" t="s">
        <v>18</v>
      </c>
      <c r="F2140" t="s">
        <v>19</v>
      </c>
    </row>
    <row r="2141" spans="1:6" x14ac:dyDescent="0.2">
      <c r="A2141">
        <v>45039489</v>
      </c>
      <c r="B2141">
        <v>2017</v>
      </c>
      <c r="C2141">
        <v>31.855249745158002</v>
      </c>
      <c r="D2141" t="s">
        <v>592</v>
      </c>
      <c r="E2141" t="s">
        <v>18</v>
      </c>
      <c r="F2141" t="s">
        <v>19</v>
      </c>
    </row>
    <row r="2142" spans="1:6" x14ac:dyDescent="0.2">
      <c r="A2142">
        <v>45039489</v>
      </c>
      <c r="B2142">
        <v>2016</v>
      </c>
      <c r="C2142">
        <v>25.834061241325799</v>
      </c>
      <c r="D2142" t="s">
        <v>592</v>
      </c>
      <c r="E2142" t="s">
        <v>18</v>
      </c>
      <c r="F2142" t="s">
        <v>19</v>
      </c>
    </row>
    <row r="2143" spans="1:6" x14ac:dyDescent="0.2">
      <c r="A2143">
        <v>45039489</v>
      </c>
      <c r="B2143">
        <v>2015</v>
      </c>
      <c r="C2143">
        <v>29.867761057911501</v>
      </c>
      <c r="D2143" t="s">
        <v>592</v>
      </c>
      <c r="E2143" t="s">
        <v>18</v>
      </c>
      <c r="F2143" t="s">
        <v>19</v>
      </c>
    </row>
    <row r="2144" spans="1:6" x14ac:dyDescent="0.2">
      <c r="A2144">
        <v>45039489</v>
      </c>
      <c r="B2144">
        <v>2014</v>
      </c>
      <c r="C2144">
        <v>26.126277005526699</v>
      </c>
      <c r="D2144" t="s">
        <v>592</v>
      </c>
      <c r="E2144" t="s">
        <v>18</v>
      </c>
      <c r="F2144" t="s">
        <v>19</v>
      </c>
    </row>
    <row r="2145" spans="1:6" x14ac:dyDescent="0.2">
      <c r="A2145">
        <v>45039489</v>
      </c>
      <c r="B2145">
        <v>2013</v>
      </c>
      <c r="C2145">
        <v>27.272727272727298</v>
      </c>
      <c r="D2145" t="s">
        <v>592</v>
      </c>
      <c r="E2145" t="s">
        <v>18</v>
      </c>
      <c r="F2145" t="s">
        <v>19</v>
      </c>
    </row>
    <row r="2146" spans="1:6" x14ac:dyDescent="0.2">
      <c r="A2146">
        <v>45039489</v>
      </c>
      <c r="B2146">
        <v>2012</v>
      </c>
      <c r="C2146">
        <v>35.384615384615401</v>
      </c>
      <c r="D2146" t="s">
        <v>592</v>
      </c>
      <c r="E2146" t="s">
        <v>18</v>
      </c>
      <c r="F2146" t="s">
        <v>19</v>
      </c>
    </row>
    <row r="2147" spans="1:6" x14ac:dyDescent="0.2">
      <c r="A2147">
        <v>45039489</v>
      </c>
      <c r="B2147">
        <v>2011</v>
      </c>
      <c r="C2147">
        <v>40.983606557377101</v>
      </c>
      <c r="D2147" t="s">
        <v>592</v>
      </c>
      <c r="E2147" t="s">
        <v>18</v>
      </c>
      <c r="F2147" t="s">
        <v>19</v>
      </c>
    </row>
    <row r="2148" spans="1:6" x14ac:dyDescent="0.2">
      <c r="A2148">
        <v>45039489</v>
      </c>
      <c r="B2148">
        <v>2010</v>
      </c>
      <c r="C2148">
        <v>14.492753623188401</v>
      </c>
      <c r="D2148" t="s">
        <v>592</v>
      </c>
      <c r="E2148" t="s">
        <v>18</v>
      </c>
      <c r="F2148" t="s">
        <v>19</v>
      </c>
    </row>
    <row r="2149" spans="1:6" x14ac:dyDescent="0.2">
      <c r="A2149">
        <v>23971419</v>
      </c>
      <c r="B2149">
        <v>2019</v>
      </c>
      <c r="C2149">
        <v>7.9046498024556202</v>
      </c>
      <c r="D2149" t="s">
        <v>911</v>
      </c>
      <c r="E2149" t="s">
        <v>531</v>
      </c>
      <c r="F2149" t="s">
        <v>137</v>
      </c>
    </row>
    <row r="2150" spans="1:6" x14ac:dyDescent="0.2">
      <c r="A2150">
        <v>73428186</v>
      </c>
      <c r="B2150">
        <v>2020</v>
      </c>
      <c r="C2150">
        <v>52.998916151544201</v>
      </c>
      <c r="D2150" t="s">
        <v>175</v>
      </c>
      <c r="E2150" t="s">
        <v>176</v>
      </c>
      <c r="F2150" t="s">
        <v>177</v>
      </c>
    </row>
    <row r="2151" spans="1:6" x14ac:dyDescent="0.2">
      <c r="A2151">
        <v>73428186</v>
      </c>
      <c r="B2151">
        <v>2019</v>
      </c>
      <c r="C2151">
        <v>50.172526669627104</v>
      </c>
      <c r="D2151" t="s">
        <v>175</v>
      </c>
      <c r="E2151" t="s">
        <v>176</v>
      </c>
      <c r="F2151" t="s">
        <v>177</v>
      </c>
    </row>
    <row r="2152" spans="1:6" x14ac:dyDescent="0.2">
      <c r="A2152">
        <v>73428186</v>
      </c>
      <c r="B2152">
        <v>2018</v>
      </c>
      <c r="C2152">
        <v>55.364246800962903</v>
      </c>
      <c r="D2152" t="s">
        <v>175</v>
      </c>
      <c r="E2152" t="s">
        <v>176</v>
      </c>
      <c r="F2152" t="s">
        <v>177</v>
      </c>
    </row>
    <row r="2153" spans="1:6" x14ac:dyDescent="0.2">
      <c r="A2153">
        <v>73428186</v>
      </c>
      <c r="B2153">
        <v>2017</v>
      </c>
      <c r="C2153">
        <v>48.259884582754502</v>
      </c>
      <c r="D2153" t="s">
        <v>175</v>
      </c>
      <c r="E2153" t="s">
        <v>176</v>
      </c>
      <c r="F2153" t="s">
        <v>177</v>
      </c>
    </row>
    <row r="2154" spans="1:6" x14ac:dyDescent="0.2">
      <c r="A2154">
        <v>73428186</v>
      </c>
      <c r="B2154">
        <v>2016</v>
      </c>
      <c r="C2154">
        <v>52.020388269026803</v>
      </c>
      <c r="D2154" t="s">
        <v>175</v>
      </c>
      <c r="E2154" t="s">
        <v>176</v>
      </c>
      <c r="F2154" t="s">
        <v>177</v>
      </c>
    </row>
    <row r="2155" spans="1:6" x14ac:dyDescent="0.2">
      <c r="A2155">
        <v>73428186</v>
      </c>
      <c r="B2155">
        <v>2015</v>
      </c>
      <c r="C2155">
        <v>65.743464272252396</v>
      </c>
      <c r="D2155" t="s">
        <v>175</v>
      </c>
      <c r="E2155" t="s">
        <v>176</v>
      </c>
      <c r="F2155" t="s">
        <v>177</v>
      </c>
    </row>
    <row r="2156" spans="1:6" x14ac:dyDescent="0.2">
      <c r="A2156">
        <v>73428186</v>
      </c>
      <c r="B2156">
        <v>2014</v>
      </c>
      <c r="C2156">
        <v>63.284066782364398</v>
      </c>
      <c r="D2156" t="s">
        <v>175</v>
      </c>
      <c r="E2156" t="s">
        <v>176</v>
      </c>
      <c r="F2156" t="s">
        <v>177</v>
      </c>
    </row>
    <row r="2157" spans="1:6" x14ac:dyDescent="0.2">
      <c r="A2157">
        <v>73428186</v>
      </c>
      <c r="B2157">
        <v>2013</v>
      </c>
      <c r="C2157">
        <v>63.779387318926602</v>
      </c>
      <c r="D2157" t="s">
        <v>175</v>
      </c>
      <c r="E2157" t="s">
        <v>176</v>
      </c>
      <c r="F2157" t="s">
        <v>177</v>
      </c>
    </row>
    <row r="2158" spans="1:6" x14ac:dyDescent="0.2">
      <c r="A2158">
        <v>73428186</v>
      </c>
      <c r="B2158">
        <v>2012</v>
      </c>
      <c r="C2158">
        <v>43.513312852022501</v>
      </c>
      <c r="D2158" t="s">
        <v>175</v>
      </c>
      <c r="E2158" t="s">
        <v>176</v>
      </c>
      <c r="F2158" t="s">
        <v>177</v>
      </c>
    </row>
    <row r="2159" spans="1:6" x14ac:dyDescent="0.2">
      <c r="A2159">
        <v>73428186</v>
      </c>
      <c r="B2159">
        <v>2011</v>
      </c>
      <c r="C2159">
        <v>27.062553158586599</v>
      </c>
      <c r="D2159" t="s">
        <v>175</v>
      </c>
      <c r="E2159" t="s">
        <v>176</v>
      </c>
      <c r="F2159" t="s">
        <v>177</v>
      </c>
    </row>
    <row r="2160" spans="1:6" x14ac:dyDescent="0.2">
      <c r="A2160">
        <v>73428186</v>
      </c>
      <c r="B2160">
        <v>2010</v>
      </c>
      <c r="C2160">
        <v>31.751172599784301</v>
      </c>
      <c r="D2160" t="s">
        <v>175</v>
      </c>
      <c r="E2160" t="s">
        <v>176</v>
      </c>
      <c r="F2160" t="s">
        <v>177</v>
      </c>
    </row>
    <row r="2161" spans="1:6" x14ac:dyDescent="0.2">
      <c r="A2161">
        <v>73686858</v>
      </c>
      <c r="B2161">
        <v>2020</v>
      </c>
      <c r="C2161">
        <v>34.066895723991102</v>
      </c>
      <c r="D2161" t="s">
        <v>294</v>
      </c>
      <c r="E2161" t="s">
        <v>132</v>
      </c>
      <c r="F2161" t="s">
        <v>7</v>
      </c>
    </row>
    <row r="2162" spans="1:6" x14ac:dyDescent="0.2">
      <c r="A2162">
        <v>73686858</v>
      </c>
      <c r="B2162">
        <v>2019</v>
      </c>
      <c r="C2162">
        <v>27.961225906109402</v>
      </c>
      <c r="D2162" t="s">
        <v>294</v>
      </c>
      <c r="E2162" t="s">
        <v>132</v>
      </c>
      <c r="F2162" t="s">
        <v>7</v>
      </c>
    </row>
    <row r="2163" spans="1:6" x14ac:dyDescent="0.2">
      <c r="A2163">
        <v>73686858</v>
      </c>
      <c r="B2163">
        <v>2018</v>
      </c>
      <c r="C2163">
        <v>31.531005488730599</v>
      </c>
      <c r="D2163" t="s">
        <v>294</v>
      </c>
      <c r="E2163" t="s">
        <v>132</v>
      </c>
      <c r="F2163" t="s">
        <v>7</v>
      </c>
    </row>
    <row r="2164" spans="1:6" x14ac:dyDescent="0.2">
      <c r="A2164">
        <v>73686858</v>
      </c>
      <c r="B2164">
        <v>2016</v>
      </c>
      <c r="C2164">
        <v>30.2720702312029</v>
      </c>
      <c r="D2164" t="s">
        <v>294</v>
      </c>
      <c r="E2164" t="s">
        <v>132</v>
      </c>
      <c r="F2164" t="s">
        <v>7</v>
      </c>
    </row>
    <row r="2165" spans="1:6" x14ac:dyDescent="0.2">
      <c r="A2165">
        <v>51099490</v>
      </c>
      <c r="B2165">
        <v>2017</v>
      </c>
      <c r="C2165">
        <v>77.055798284052599</v>
      </c>
      <c r="D2165" t="s">
        <v>417</v>
      </c>
      <c r="E2165"/>
      <c r="F2165" t="s">
        <v>418</v>
      </c>
    </row>
    <row r="2166" spans="1:6" x14ac:dyDescent="0.2">
      <c r="A2166">
        <v>90522890</v>
      </c>
      <c r="B2166">
        <v>2019</v>
      </c>
      <c r="C2166">
        <v>40.456308785575203</v>
      </c>
      <c r="D2166" t="s">
        <v>128</v>
      </c>
      <c r="E2166" t="s">
        <v>129</v>
      </c>
      <c r="F2166" t="s">
        <v>65</v>
      </c>
    </row>
    <row r="2167" spans="1:6" x14ac:dyDescent="0.2">
      <c r="A2167">
        <v>90522890</v>
      </c>
      <c r="B2167">
        <v>2018</v>
      </c>
      <c r="C2167">
        <v>40.581571879014398</v>
      </c>
      <c r="D2167" t="s">
        <v>128</v>
      </c>
      <c r="E2167" t="s">
        <v>129</v>
      </c>
      <c r="F2167" t="s">
        <v>65</v>
      </c>
    </row>
    <row r="2168" spans="1:6" x14ac:dyDescent="0.2">
      <c r="A2168">
        <v>90522890</v>
      </c>
      <c r="B2168">
        <v>2016</v>
      </c>
      <c r="C2168">
        <v>24.690657282324899</v>
      </c>
      <c r="D2168" t="s">
        <v>128</v>
      </c>
      <c r="E2168" t="s">
        <v>129</v>
      </c>
      <c r="F2168" t="s">
        <v>65</v>
      </c>
    </row>
    <row r="2169" spans="1:6" x14ac:dyDescent="0.2">
      <c r="A2169">
        <v>83753762</v>
      </c>
      <c r="B2169">
        <v>2020</v>
      </c>
      <c r="C2169">
        <v>52.205956626805602</v>
      </c>
      <c r="D2169" t="s">
        <v>787</v>
      </c>
      <c r="E2169" t="s">
        <v>32</v>
      </c>
      <c r="F2169" t="s">
        <v>33</v>
      </c>
    </row>
    <row r="2170" spans="1:6" x14ac:dyDescent="0.2">
      <c r="A2170">
        <v>83753762</v>
      </c>
      <c r="B2170">
        <v>2019</v>
      </c>
      <c r="C2170">
        <v>46.1937461797772</v>
      </c>
      <c r="D2170" t="s">
        <v>787</v>
      </c>
      <c r="E2170" t="s">
        <v>32</v>
      </c>
      <c r="F2170" t="s">
        <v>33</v>
      </c>
    </row>
    <row r="2171" spans="1:6" x14ac:dyDescent="0.2">
      <c r="A2171">
        <v>83753762</v>
      </c>
      <c r="B2171">
        <v>2018</v>
      </c>
      <c r="C2171">
        <v>43.730792214169803</v>
      </c>
      <c r="D2171" t="s">
        <v>787</v>
      </c>
      <c r="E2171" t="s">
        <v>32</v>
      </c>
      <c r="F2171" t="s">
        <v>33</v>
      </c>
    </row>
    <row r="2172" spans="1:6" x14ac:dyDescent="0.2">
      <c r="A2172">
        <v>66412523</v>
      </c>
      <c r="B2172">
        <v>2019</v>
      </c>
      <c r="C2172">
        <v>26.192661577380299</v>
      </c>
      <c r="D2172" t="s">
        <v>615</v>
      </c>
      <c r="E2172"/>
      <c r="F2172" t="s">
        <v>28</v>
      </c>
    </row>
    <row r="2173" spans="1:6" x14ac:dyDescent="0.2">
      <c r="A2173">
        <v>66412523</v>
      </c>
      <c r="B2173">
        <v>2018</v>
      </c>
      <c r="C2173">
        <v>37.363592718024599</v>
      </c>
      <c r="D2173" t="s">
        <v>615</v>
      </c>
      <c r="E2173"/>
      <c r="F2173" t="s">
        <v>28</v>
      </c>
    </row>
    <row r="2174" spans="1:6" x14ac:dyDescent="0.2">
      <c r="A2174">
        <v>66412523</v>
      </c>
      <c r="B2174">
        <v>2017</v>
      </c>
      <c r="C2174">
        <v>34.706672637707101</v>
      </c>
      <c r="D2174" t="s">
        <v>615</v>
      </c>
      <c r="E2174"/>
      <c r="F2174" t="s">
        <v>28</v>
      </c>
    </row>
    <row r="2175" spans="1:6" x14ac:dyDescent="0.2">
      <c r="A2175">
        <v>66412523</v>
      </c>
      <c r="B2175">
        <v>2016</v>
      </c>
      <c r="C2175">
        <v>31.009951943088499</v>
      </c>
      <c r="D2175" t="s">
        <v>615</v>
      </c>
      <c r="E2175"/>
      <c r="F2175" t="s">
        <v>28</v>
      </c>
    </row>
    <row r="2176" spans="1:6" x14ac:dyDescent="0.2">
      <c r="A2176">
        <v>66412523</v>
      </c>
      <c r="B2176">
        <v>2015</v>
      </c>
      <c r="C2176">
        <v>25.500910746812401</v>
      </c>
      <c r="D2176" t="s">
        <v>615</v>
      </c>
      <c r="E2176"/>
      <c r="F2176" t="s">
        <v>28</v>
      </c>
    </row>
    <row r="2177" spans="1:6" x14ac:dyDescent="0.2">
      <c r="A2177">
        <v>70112700</v>
      </c>
      <c r="B2177">
        <v>2016</v>
      </c>
      <c r="C2177">
        <v>17.4821205585197</v>
      </c>
      <c r="D2177" t="s">
        <v>647</v>
      </c>
      <c r="E2177" t="s">
        <v>648</v>
      </c>
      <c r="F2177" t="s">
        <v>242</v>
      </c>
    </row>
    <row r="2178" spans="1:6" x14ac:dyDescent="0.2">
      <c r="A2178">
        <v>99556837</v>
      </c>
      <c r="B2178">
        <v>2019</v>
      </c>
      <c r="C2178">
        <v>26.497119956786602</v>
      </c>
      <c r="D2178" t="s">
        <v>901</v>
      </c>
      <c r="E2178" t="s">
        <v>902</v>
      </c>
      <c r="F2178" t="s">
        <v>383</v>
      </c>
    </row>
    <row r="2179" spans="1:6" x14ac:dyDescent="0.2">
      <c r="A2179">
        <v>99556837</v>
      </c>
      <c r="B2179">
        <v>2018</v>
      </c>
      <c r="C2179">
        <v>30.5694623322415</v>
      </c>
      <c r="D2179" t="s">
        <v>901</v>
      </c>
      <c r="E2179" t="s">
        <v>902</v>
      </c>
      <c r="F2179" t="s">
        <v>383</v>
      </c>
    </row>
    <row r="2180" spans="1:6" x14ac:dyDescent="0.2">
      <c r="A2180">
        <v>99556837</v>
      </c>
      <c r="B2180">
        <v>2016</v>
      </c>
      <c r="C2180">
        <v>90.688513302500795</v>
      </c>
      <c r="D2180" t="s">
        <v>901</v>
      </c>
      <c r="E2180" t="s">
        <v>902</v>
      </c>
      <c r="F2180" t="s">
        <v>383</v>
      </c>
    </row>
    <row r="2181" spans="1:6" x14ac:dyDescent="0.2">
      <c r="A2181">
        <v>37902553</v>
      </c>
      <c r="B2181">
        <v>2018</v>
      </c>
      <c r="C2181">
        <v>75.323290227969594</v>
      </c>
      <c r="D2181" t="s">
        <v>459</v>
      </c>
      <c r="E2181" t="s">
        <v>460</v>
      </c>
      <c r="F2181" t="s">
        <v>393</v>
      </c>
    </row>
    <row r="2182" spans="1:6" x14ac:dyDescent="0.2">
      <c r="A2182">
        <v>74129510</v>
      </c>
      <c r="B2182">
        <v>2017</v>
      </c>
      <c r="C2182">
        <v>50.853303814334097</v>
      </c>
      <c r="D2182" t="s">
        <v>463</v>
      </c>
      <c r="E2182" t="s">
        <v>464</v>
      </c>
      <c r="F2182" t="s">
        <v>385</v>
      </c>
    </row>
    <row r="2183" spans="1:6" x14ac:dyDescent="0.2">
      <c r="A2183">
        <v>54122755</v>
      </c>
      <c r="B2183">
        <v>2020</v>
      </c>
      <c r="C2183">
        <v>30.018704208409499</v>
      </c>
      <c r="D2183" t="s">
        <v>804</v>
      </c>
      <c r="E2183" t="s">
        <v>805</v>
      </c>
      <c r="F2183" t="s">
        <v>320</v>
      </c>
    </row>
    <row r="2184" spans="1:6" x14ac:dyDescent="0.2">
      <c r="A2184">
        <v>54122755</v>
      </c>
      <c r="B2184">
        <v>2019</v>
      </c>
      <c r="C2184">
        <v>37.743613750224597</v>
      </c>
      <c r="D2184" t="s">
        <v>804</v>
      </c>
      <c r="E2184" t="s">
        <v>805</v>
      </c>
      <c r="F2184" t="s">
        <v>320</v>
      </c>
    </row>
    <row r="2185" spans="1:6" x14ac:dyDescent="0.2">
      <c r="A2185">
        <v>54122755</v>
      </c>
      <c r="B2185">
        <v>2018</v>
      </c>
      <c r="C2185">
        <v>40.259352587710801</v>
      </c>
      <c r="D2185" t="s">
        <v>804</v>
      </c>
      <c r="E2185" t="s">
        <v>805</v>
      </c>
      <c r="F2185" t="s">
        <v>320</v>
      </c>
    </row>
    <row r="2186" spans="1:6" x14ac:dyDescent="0.2">
      <c r="A2186">
        <v>54122755</v>
      </c>
      <c r="B2186">
        <v>2017</v>
      </c>
      <c r="C2186">
        <v>29.880859906988</v>
      </c>
      <c r="D2186" t="s">
        <v>804</v>
      </c>
      <c r="E2186" t="s">
        <v>805</v>
      </c>
      <c r="F2186" t="s">
        <v>320</v>
      </c>
    </row>
    <row r="2187" spans="1:6" x14ac:dyDescent="0.2">
      <c r="A2187">
        <v>54122755</v>
      </c>
      <c r="B2187">
        <v>2016</v>
      </c>
      <c r="C2187">
        <v>25.170345610710399</v>
      </c>
      <c r="D2187" t="s">
        <v>804</v>
      </c>
      <c r="E2187" t="s">
        <v>805</v>
      </c>
      <c r="F2187" t="s">
        <v>320</v>
      </c>
    </row>
    <row r="2188" spans="1:6" x14ac:dyDescent="0.2">
      <c r="A2188">
        <v>54122755</v>
      </c>
      <c r="B2188">
        <v>2015</v>
      </c>
      <c r="C2188">
        <v>29.243187477802</v>
      </c>
      <c r="D2188" t="s">
        <v>804</v>
      </c>
      <c r="E2188" t="s">
        <v>805</v>
      </c>
      <c r="F2188" t="s">
        <v>320</v>
      </c>
    </row>
    <row r="2189" spans="1:6" x14ac:dyDescent="0.2">
      <c r="A2189">
        <v>54122755</v>
      </c>
      <c r="B2189">
        <v>2013</v>
      </c>
      <c r="C2189">
        <v>25.652112923023001</v>
      </c>
      <c r="D2189" t="s">
        <v>804</v>
      </c>
      <c r="E2189" t="s">
        <v>805</v>
      </c>
      <c r="F2189" t="s">
        <v>320</v>
      </c>
    </row>
    <row r="2190" spans="1:6" x14ac:dyDescent="0.2">
      <c r="A2190">
        <v>54122755</v>
      </c>
      <c r="B2190">
        <v>2012</v>
      </c>
      <c r="C2190">
        <v>35</v>
      </c>
      <c r="D2190" t="s">
        <v>804</v>
      </c>
      <c r="E2190" t="s">
        <v>805</v>
      </c>
      <c r="F2190" t="s">
        <v>320</v>
      </c>
    </row>
    <row r="2191" spans="1:6" x14ac:dyDescent="0.2">
      <c r="A2191">
        <v>74407335</v>
      </c>
      <c r="B2191">
        <v>2020</v>
      </c>
      <c r="C2191">
        <v>47.921401044005897</v>
      </c>
      <c r="D2191" t="s">
        <v>350</v>
      </c>
      <c r="E2191" t="s">
        <v>297</v>
      </c>
      <c r="F2191" t="s">
        <v>348</v>
      </c>
    </row>
    <row r="2192" spans="1:6" x14ac:dyDescent="0.2">
      <c r="A2192">
        <v>53495219</v>
      </c>
      <c r="B2192">
        <v>2019</v>
      </c>
      <c r="C2192">
        <v>64.1666666666667</v>
      </c>
      <c r="D2192" t="s">
        <v>350</v>
      </c>
      <c r="E2192" t="s">
        <v>494</v>
      </c>
      <c r="F2192" t="s">
        <v>1126</v>
      </c>
    </row>
    <row r="2193" spans="1:6" x14ac:dyDescent="0.2">
      <c r="A2193">
        <v>74407335</v>
      </c>
      <c r="B2193">
        <v>2019</v>
      </c>
      <c r="C2193">
        <v>48.623478800500699</v>
      </c>
      <c r="D2193" t="s">
        <v>350</v>
      </c>
      <c r="E2193" t="s">
        <v>297</v>
      </c>
      <c r="F2193" t="s">
        <v>348</v>
      </c>
    </row>
    <row r="2194" spans="1:6" x14ac:dyDescent="0.2">
      <c r="A2194">
        <v>53495219</v>
      </c>
      <c r="B2194">
        <v>2018</v>
      </c>
      <c r="C2194">
        <v>63.8333333333333</v>
      </c>
      <c r="D2194" t="s">
        <v>350</v>
      </c>
      <c r="E2194" t="s">
        <v>494</v>
      </c>
      <c r="F2194" t="s">
        <v>1126</v>
      </c>
    </row>
    <row r="2195" spans="1:6" x14ac:dyDescent="0.2">
      <c r="A2195">
        <v>74407335</v>
      </c>
      <c r="B2195">
        <v>2018</v>
      </c>
      <c r="C2195">
        <v>53.2270641457363</v>
      </c>
      <c r="D2195" t="s">
        <v>350</v>
      </c>
      <c r="E2195" t="s">
        <v>297</v>
      </c>
      <c r="F2195" t="s">
        <v>348</v>
      </c>
    </row>
    <row r="2196" spans="1:6" x14ac:dyDescent="0.2">
      <c r="A2196">
        <v>53495219</v>
      </c>
      <c r="B2196">
        <v>2017</v>
      </c>
      <c r="C2196">
        <v>62.831666666666699</v>
      </c>
      <c r="D2196" t="s">
        <v>350</v>
      </c>
      <c r="E2196" t="s">
        <v>494</v>
      </c>
      <c r="F2196" t="s">
        <v>1126</v>
      </c>
    </row>
    <row r="2197" spans="1:6" x14ac:dyDescent="0.2">
      <c r="A2197">
        <v>74407335</v>
      </c>
      <c r="B2197">
        <v>2017</v>
      </c>
      <c r="C2197">
        <v>55.055443176930901</v>
      </c>
      <c r="D2197" t="s">
        <v>350</v>
      </c>
      <c r="E2197" t="s">
        <v>297</v>
      </c>
      <c r="F2197" t="s">
        <v>348</v>
      </c>
    </row>
    <row r="2198" spans="1:6" x14ac:dyDescent="0.2">
      <c r="A2198">
        <v>74407335</v>
      </c>
      <c r="B2198">
        <v>2016</v>
      </c>
      <c r="C2198">
        <v>52.383684135312301</v>
      </c>
      <c r="D2198" t="s">
        <v>350</v>
      </c>
      <c r="E2198" t="s">
        <v>297</v>
      </c>
      <c r="F2198" t="s">
        <v>348</v>
      </c>
    </row>
    <row r="2199" spans="1:6" x14ac:dyDescent="0.2">
      <c r="A2199">
        <v>53495219</v>
      </c>
      <c r="B2199">
        <v>2016</v>
      </c>
      <c r="C2199">
        <v>50.303333333333299</v>
      </c>
      <c r="D2199" t="s">
        <v>350</v>
      </c>
      <c r="E2199" t="s">
        <v>494</v>
      </c>
      <c r="F2199" t="s">
        <v>1126</v>
      </c>
    </row>
    <row r="2200" spans="1:6" x14ac:dyDescent="0.2">
      <c r="A2200">
        <v>74407335</v>
      </c>
      <c r="B2200">
        <v>2015</v>
      </c>
      <c r="C2200">
        <v>50.882875395195697</v>
      </c>
      <c r="D2200" t="s">
        <v>350</v>
      </c>
      <c r="E2200" t="s">
        <v>297</v>
      </c>
      <c r="F2200" t="s">
        <v>348</v>
      </c>
    </row>
    <row r="2201" spans="1:6" x14ac:dyDescent="0.2">
      <c r="A2201">
        <v>74407335</v>
      </c>
      <c r="B2201">
        <v>2014</v>
      </c>
      <c r="C2201">
        <v>63.204759737605897</v>
      </c>
      <c r="D2201" t="s">
        <v>350</v>
      </c>
      <c r="E2201" t="s">
        <v>297</v>
      </c>
      <c r="F2201" t="s">
        <v>348</v>
      </c>
    </row>
    <row r="2202" spans="1:6" x14ac:dyDescent="0.2">
      <c r="A2202">
        <v>74407335</v>
      </c>
      <c r="B2202">
        <v>2013</v>
      </c>
      <c r="C2202">
        <v>62.225274725274701</v>
      </c>
      <c r="D2202" t="s">
        <v>350</v>
      </c>
      <c r="E2202" t="s">
        <v>297</v>
      </c>
      <c r="F2202" t="s">
        <v>348</v>
      </c>
    </row>
    <row r="2203" spans="1:6" x14ac:dyDescent="0.2">
      <c r="A2203">
        <v>74407335</v>
      </c>
      <c r="B2203">
        <v>2012</v>
      </c>
      <c r="C2203">
        <v>50.862998921251403</v>
      </c>
      <c r="D2203" t="s">
        <v>350</v>
      </c>
      <c r="E2203" t="s">
        <v>297</v>
      </c>
      <c r="F2203" t="s">
        <v>348</v>
      </c>
    </row>
    <row r="2204" spans="1:6" x14ac:dyDescent="0.2">
      <c r="A2204">
        <v>74407335</v>
      </c>
      <c r="B2204">
        <v>2011</v>
      </c>
      <c r="C2204">
        <v>53.191489361702097</v>
      </c>
      <c r="D2204" t="s">
        <v>350</v>
      </c>
      <c r="E2204" t="s">
        <v>297</v>
      </c>
      <c r="F2204" t="s">
        <v>348</v>
      </c>
    </row>
    <row r="2205" spans="1:6" x14ac:dyDescent="0.2">
      <c r="A2205">
        <v>74407335</v>
      </c>
      <c r="B2205">
        <v>2010</v>
      </c>
      <c r="C2205">
        <v>29.081920903954799</v>
      </c>
      <c r="D2205" t="s">
        <v>350</v>
      </c>
      <c r="E2205" t="s">
        <v>297</v>
      </c>
      <c r="F2205" t="s">
        <v>348</v>
      </c>
    </row>
    <row r="2206" spans="1:6" x14ac:dyDescent="0.2">
      <c r="A2206">
        <v>74128752</v>
      </c>
      <c r="B2206">
        <v>2020</v>
      </c>
      <c r="C2206">
        <v>71.8333333333333</v>
      </c>
      <c r="D2206" t="s">
        <v>578</v>
      </c>
      <c r="E2206" t="s">
        <v>579</v>
      </c>
      <c r="F2206" t="s">
        <v>1126</v>
      </c>
    </row>
    <row r="2207" spans="1:6" x14ac:dyDescent="0.2">
      <c r="A2207">
        <v>74128752</v>
      </c>
      <c r="B2207">
        <v>2019</v>
      </c>
      <c r="C2207">
        <v>68.25</v>
      </c>
      <c r="D2207" t="s">
        <v>578</v>
      </c>
      <c r="E2207" t="s">
        <v>579</v>
      </c>
      <c r="F2207" t="s">
        <v>1126</v>
      </c>
    </row>
    <row r="2208" spans="1:6" x14ac:dyDescent="0.2">
      <c r="A2208">
        <v>74128752</v>
      </c>
      <c r="B2208">
        <v>2018</v>
      </c>
      <c r="C2208">
        <v>56.5</v>
      </c>
      <c r="D2208" t="s">
        <v>578</v>
      </c>
      <c r="E2208" t="s">
        <v>579</v>
      </c>
      <c r="F2208" t="s">
        <v>1126</v>
      </c>
    </row>
    <row r="2209" spans="1:6" x14ac:dyDescent="0.2">
      <c r="A2209">
        <v>74128752</v>
      </c>
      <c r="B2209">
        <v>2017</v>
      </c>
      <c r="C2209">
        <v>51.726363636363601</v>
      </c>
      <c r="D2209" t="s">
        <v>578</v>
      </c>
      <c r="E2209" t="s">
        <v>579</v>
      </c>
      <c r="F2209" t="s">
        <v>1126</v>
      </c>
    </row>
    <row r="2210" spans="1:6" x14ac:dyDescent="0.2">
      <c r="A2210">
        <v>74128752</v>
      </c>
      <c r="B2210">
        <v>2016</v>
      </c>
      <c r="C2210">
        <v>50.540833333333303</v>
      </c>
      <c r="D2210" t="s">
        <v>578</v>
      </c>
      <c r="E2210" t="s">
        <v>579</v>
      </c>
      <c r="F2210" t="s">
        <v>1126</v>
      </c>
    </row>
    <row r="2211" spans="1:6" x14ac:dyDescent="0.2">
      <c r="A2211">
        <v>74128752</v>
      </c>
      <c r="B2211">
        <v>2015</v>
      </c>
      <c r="C2211">
        <v>53.642499999999998</v>
      </c>
      <c r="D2211" t="s">
        <v>578</v>
      </c>
      <c r="E2211" t="s">
        <v>579</v>
      </c>
      <c r="F2211" t="s">
        <v>1126</v>
      </c>
    </row>
    <row r="2212" spans="1:6" x14ac:dyDescent="0.2">
      <c r="A2212">
        <v>74128752</v>
      </c>
      <c r="B2212">
        <v>2014</v>
      </c>
      <c r="C2212">
        <v>49.993333333333297</v>
      </c>
      <c r="D2212" t="s">
        <v>578</v>
      </c>
      <c r="E2212" t="s">
        <v>579</v>
      </c>
      <c r="F2212" t="s">
        <v>1126</v>
      </c>
    </row>
    <row r="2213" spans="1:6" x14ac:dyDescent="0.2">
      <c r="A2213">
        <v>92749910</v>
      </c>
      <c r="B2213">
        <v>2020</v>
      </c>
      <c r="C2213">
        <v>27.030398387088699</v>
      </c>
      <c r="D2213" t="s">
        <v>793</v>
      </c>
      <c r="E2213" t="s">
        <v>793</v>
      </c>
      <c r="F2213" t="s">
        <v>181</v>
      </c>
    </row>
    <row r="2214" spans="1:6" x14ac:dyDescent="0.2">
      <c r="A2214">
        <v>92749910</v>
      </c>
      <c r="B2214">
        <v>2018</v>
      </c>
      <c r="C2214">
        <v>56.752931121972097</v>
      </c>
      <c r="D2214" t="s">
        <v>793</v>
      </c>
      <c r="E2214" t="s">
        <v>793</v>
      </c>
      <c r="F2214" t="s">
        <v>181</v>
      </c>
    </row>
    <row r="2215" spans="1:6" x14ac:dyDescent="0.2">
      <c r="A2215">
        <v>29388741</v>
      </c>
      <c r="B2215">
        <v>2020</v>
      </c>
      <c r="C2215">
        <v>25.563546222888899</v>
      </c>
      <c r="D2215" t="s">
        <v>963</v>
      </c>
      <c r="E2215" t="s">
        <v>964</v>
      </c>
      <c r="F2215" t="s">
        <v>183</v>
      </c>
    </row>
    <row r="2216" spans="1:6" x14ac:dyDescent="0.2">
      <c r="A2216">
        <v>29388741</v>
      </c>
      <c r="B2216">
        <v>2019</v>
      </c>
      <c r="C2216">
        <v>26.5092425493735</v>
      </c>
      <c r="D2216" t="s">
        <v>963</v>
      </c>
      <c r="E2216" t="s">
        <v>964</v>
      </c>
      <c r="F2216" t="s">
        <v>183</v>
      </c>
    </row>
    <row r="2217" spans="1:6" x14ac:dyDescent="0.2">
      <c r="A2217">
        <v>29388741</v>
      </c>
      <c r="B2217">
        <v>2018</v>
      </c>
      <c r="C2217">
        <v>26.628933674464498</v>
      </c>
      <c r="D2217" t="s">
        <v>963</v>
      </c>
      <c r="E2217" t="s">
        <v>964</v>
      </c>
      <c r="F2217" t="s">
        <v>183</v>
      </c>
    </row>
    <row r="2218" spans="1:6" x14ac:dyDescent="0.2">
      <c r="A2218">
        <v>29388741</v>
      </c>
      <c r="B2218">
        <v>2017</v>
      </c>
      <c r="C2218">
        <v>24.200025410944001</v>
      </c>
      <c r="D2218" t="s">
        <v>963</v>
      </c>
      <c r="E2218" t="s">
        <v>964</v>
      </c>
      <c r="F2218" t="s">
        <v>183</v>
      </c>
    </row>
    <row r="2219" spans="1:6" x14ac:dyDescent="0.2">
      <c r="A2219">
        <v>29388741</v>
      </c>
      <c r="B2219">
        <v>2016</v>
      </c>
      <c r="C2219">
        <v>24.071508283510099</v>
      </c>
      <c r="D2219" t="s">
        <v>963</v>
      </c>
      <c r="E2219" t="s">
        <v>964</v>
      </c>
      <c r="F2219" t="s">
        <v>183</v>
      </c>
    </row>
    <row r="2220" spans="1:6" x14ac:dyDescent="0.2">
      <c r="A2220">
        <v>29388741</v>
      </c>
      <c r="B2220">
        <v>2015</v>
      </c>
      <c r="C2220">
        <v>20.8267510913089</v>
      </c>
      <c r="D2220" t="s">
        <v>963</v>
      </c>
      <c r="E2220" t="s">
        <v>964</v>
      </c>
      <c r="F2220" t="s">
        <v>183</v>
      </c>
    </row>
    <row r="2221" spans="1:6" x14ac:dyDescent="0.2">
      <c r="A2221">
        <v>39393016</v>
      </c>
      <c r="B2221">
        <v>2019</v>
      </c>
      <c r="C2221">
        <v>68.125</v>
      </c>
      <c r="D2221" t="s">
        <v>834</v>
      </c>
      <c r="E2221" t="s">
        <v>573</v>
      </c>
      <c r="F2221" t="s">
        <v>1126</v>
      </c>
    </row>
    <row r="2222" spans="1:6" x14ac:dyDescent="0.2">
      <c r="A2222">
        <v>39393016</v>
      </c>
      <c r="B2222">
        <v>2018</v>
      </c>
      <c r="C2222">
        <v>67.665555555555599</v>
      </c>
      <c r="D2222" t="s">
        <v>834</v>
      </c>
      <c r="E2222" t="s">
        <v>573</v>
      </c>
      <c r="F2222" t="s">
        <v>1126</v>
      </c>
    </row>
    <row r="2223" spans="1:6" x14ac:dyDescent="0.2">
      <c r="A2223">
        <v>17061603</v>
      </c>
      <c r="B2223">
        <v>2020</v>
      </c>
      <c r="C2223">
        <v>25.450780403583401</v>
      </c>
      <c r="D2223" t="s">
        <v>182</v>
      </c>
      <c r="E2223"/>
      <c r="F2223" t="s">
        <v>183</v>
      </c>
    </row>
    <row r="2224" spans="1:6" x14ac:dyDescent="0.2">
      <c r="A2224">
        <v>17061603</v>
      </c>
      <c r="B2224">
        <v>2019</v>
      </c>
      <c r="C2224">
        <v>26.786442561608499</v>
      </c>
      <c r="D2224" t="s">
        <v>182</v>
      </c>
      <c r="E2224"/>
      <c r="F2224" t="s">
        <v>183</v>
      </c>
    </row>
    <row r="2225" spans="1:6" x14ac:dyDescent="0.2">
      <c r="A2225">
        <v>17061603</v>
      </c>
      <c r="B2225">
        <v>2018</v>
      </c>
      <c r="C2225">
        <v>26.8311016695069</v>
      </c>
      <c r="D2225" t="s">
        <v>182</v>
      </c>
      <c r="E2225"/>
      <c r="F2225" t="s">
        <v>183</v>
      </c>
    </row>
    <row r="2226" spans="1:6" x14ac:dyDescent="0.2">
      <c r="A2226">
        <v>17061603</v>
      </c>
      <c r="B2226">
        <v>2017</v>
      </c>
      <c r="C2226">
        <v>26.754610441836601</v>
      </c>
      <c r="D2226" t="s">
        <v>182</v>
      </c>
      <c r="E2226"/>
      <c r="F2226" t="s">
        <v>183</v>
      </c>
    </row>
    <row r="2227" spans="1:6" x14ac:dyDescent="0.2">
      <c r="A2227">
        <v>17061603</v>
      </c>
      <c r="B2227">
        <v>2016</v>
      </c>
      <c r="C2227">
        <v>22.739063523153099</v>
      </c>
      <c r="D2227" t="s">
        <v>182</v>
      </c>
      <c r="E2227"/>
      <c r="F2227" t="s">
        <v>183</v>
      </c>
    </row>
    <row r="2228" spans="1:6" x14ac:dyDescent="0.2">
      <c r="A2228">
        <v>17061603</v>
      </c>
      <c r="B2228">
        <v>2015</v>
      </c>
      <c r="C2228">
        <v>24.954757160941998</v>
      </c>
      <c r="D2228" t="s">
        <v>182</v>
      </c>
      <c r="E2228"/>
      <c r="F2228" t="s">
        <v>183</v>
      </c>
    </row>
    <row r="2229" spans="1:6" x14ac:dyDescent="0.2">
      <c r="A2229">
        <v>17061603</v>
      </c>
      <c r="B2229">
        <v>2014</v>
      </c>
      <c r="C2229">
        <v>34.916228250817902</v>
      </c>
      <c r="D2229" t="s">
        <v>182</v>
      </c>
      <c r="E2229"/>
      <c r="F2229" t="s">
        <v>183</v>
      </c>
    </row>
    <row r="2230" spans="1:6" x14ac:dyDescent="0.2">
      <c r="A2230">
        <v>17061603</v>
      </c>
      <c r="B2230">
        <v>2013</v>
      </c>
      <c r="C2230">
        <v>34.064296359378297</v>
      </c>
      <c r="D2230" t="s">
        <v>182</v>
      </c>
      <c r="E2230"/>
      <c r="F2230" t="s">
        <v>183</v>
      </c>
    </row>
    <row r="2231" spans="1:6" x14ac:dyDescent="0.2">
      <c r="A2231">
        <v>17061603</v>
      </c>
      <c r="B2231">
        <v>2012</v>
      </c>
      <c r="C2231">
        <v>24.390243902439</v>
      </c>
      <c r="D2231" t="s">
        <v>182</v>
      </c>
      <c r="E2231"/>
      <c r="F2231" t="s">
        <v>183</v>
      </c>
    </row>
    <row r="2232" spans="1:6" x14ac:dyDescent="0.2">
      <c r="A2232">
        <v>17061603</v>
      </c>
      <c r="B2232">
        <v>2011</v>
      </c>
      <c r="C2232">
        <v>43.503313166234499</v>
      </c>
      <c r="D2232" t="s">
        <v>182</v>
      </c>
      <c r="E2232"/>
      <c r="F2232" t="s">
        <v>183</v>
      </c>
    </row>
    <row r="2233" spans="1:6" x14ac:dyDescent="0.2">
      <c r="A2233">
        <v>17061603</v>
      </c>
      <c r="B2233">
        <v>2010</v>
      </c>
      <c r="C2233">
        <v>47.921826625386998</v>
      </c>
      <c r="D2233" t="s">
        <v>182</v>
      </c>
      <c r="E2233"/>
      <c r="F2233" t="s">
        <v>183</v>
      </c>
    </row>
    <row r="2234" spans="1:6" x14ac:dyDescent="0.2">
      <c r="A2234">
        <v>15702279</v>
      </c>
      <c r="B2234">
        <v>2020</v>
      </c>
      <c r="C2234">
        <v>67.457916666666705</v>
      </c>
      <c r="D2234" t="s">
        <v>493</v>
      </c>
      <c r="E2234" t="s">
        <v>494</v>
      </c>
      <c r="F2234" t="s">
        <v>1126</v>
      </c>
    </row>
    <row r="2235" spans="1:6" x14ac:dyDescent="0.2">
      <c r="A2235">
        <v>15702279</v>
      </c>
      <c r="B2235">
        <v>2019</v>
      </c>
      <c r="C2235">
        <v>61.671142857142897</v>
      </c>
      <c r="D2235" t="s">
        <v>493</v>
      </c>
      <c r="E2235" t="s">
        <v>494</v>
      </c>
      <c r="F2235" t="s">
        <v>1126</v>
      </c>
    </row>
    <row r="2236" spans="1:6" x14ac:dyDescent="0.2">
      <c r="A2236">
        <v>15702279</v>
      </c>
      <c r="B2236">
        <v>2018</v>
      </c>
      <c r="C2236">
        <v>60.424750000000003</v>
      </c>
      <c r="D2236" t="s">
        <v>493</v>
      </c>
      <c r="E2236" t="s">
        <v>494</v>
      </c>
      <c r="F2236" t="s">
        <v>1126</v>
      </c>
    </row>
    <row r="2237" spans="1:6" x14ac:dyDescent="0.2">
      <c r="A2237">
        <v>15702279</v>
      </c>
      <c r="B2237">
        <v>2017</v>
      </c>
      <c r="C2237">
        <v>54.739130434782602</v>
      </c>
      <c r="D2237" t="s">
        <v>493</v>
      </c>
      <c r="E2237" t="s">
        <v>494</v>
      </c>
      <c r="F2237" t="s">
        <v>1126</v>
      </c>
    </row>
    <row r="2238" spans="1:6" x14ac:dyDescent="0.2">
      <c r="A2238">
        <v>15702279</v>
      </c>
      <c r="B2238">
        <v>2016</v>
      </c>
      <c r="C2238">
        <v>58.541249999999998</v>
      </c>
      <c r="D2238" t="s">
        <v>493</v>
      </c>
      <c r="E2238" t="s">
        <v>494</v>
      </c>
      <c r="F2238" t="s">
        <v>1126</v>
      </c>
    </row>
    <row r="2239" spans="1:6" x14ac:dyDescent="0.2">
      <c r="A2239">
        <v>15702279</v>
      </c>
      <c r="B2239">
        <v>2015</v>
      </c>
      <c r="C2239">
        <v>46.117647058823501</v>
      </c>
      <c r="D2239" t="s">
        <v>493</v>
      </c>
      <c r="E2239" t="s">
        <v>494</v>
      </c>
      <c r="F2239" t="s">
        <v>1126</v>
      </c>
    </row>
    <row r="2240" spans="1:6" x14ac:dyDescent="0.2">
      <c r="A2240">
        <v>15702279</v>
      </c>
      <c r="B2240">
        <v>2014</v>
      </c>
      <c r="C2240">
        <v>46</v>
      </c>
      <c r="D2240" t="s">
        <v>493</v>
      </c>
      <c r="E2240" t="s">
        <v>494</v>
      </c>
      <c r="F2240" t="s">
        <v>1126</v>
      </c>
    </row>
    <row r="2241" spans="1:6" x14ac:dyDescent="0.2">
      <c r="A2241">
        <v>15702279</v>
      </c>
      <c r="B2241">
        <v>2013</v>
      </c>
      <c r="C2241">
        <v>44.633333333333297</v>
      </c>
      <c r="D2241" t="s">
        <v>493</v>
      </c>
      <c r="E2241" t="s">
        <v>494</v>
      </c>
      <c r="F2241" t="s">
        <v>1126</v>
      </c>
    </row>
    <row r="2242" spans="1:6" x14ac:dyDescent="0.2">
      <c r="A2242">
        <v>15702279</v>
      </c>
      <c r="B2242">
        <v>2012</v>
      </c>
      <c r="C2242">
        <v>35</v>
      </c>
      <c r="D2242" t="s">
        <v>493</v>
      </c>
      <c r="E2242" t="s">
        <v>494</v>
      </c>
      <c r="F2242" t="s">
        <v>1126</v>
      </c>
    </row>
    <row r="2243" spans="1:6" x14ac:dyDescent="0.2">
      <c r="A2243">
        <v>15702279</v>
      </c>
      <c r="B2243">
        <v>2011</v>
      </c>
      <c r="C2243">
        <v>51.6666666666667</v>
      </c>
      <c r="D2243" t="s">
        <v>493</v>
      </c>
      <c r="E2243" t="s">
        <v>494</v>
      </c>
      <c r="F2243" t="s">
        <v>1126</v>
      </c>
    </row>
    <row r="2244" spans="1:6" x14ac:dyDescent="0.2">
      <c r="A2244">
        <v>15702279</v>
      </c>
      <c r="B2244">
        <v>2010</v>
      </c>
      <c r="C2244">
        <v>75</v>
      </c>
      <c r="D2244" t="s">
        <v>493</v>
      </c>
      <c r="E2244" t="s">
        <v>494</v>
      </c>
      <c r="F2244" t="s">
        <v>1126</v>
      </c>
    </row>
    <row r="2245" spans="1:6" x14ac:dyDescent="0.2">
      <c r="A2245">
        <v>82168044</v>
      </c>
      <c r="B2245">
        <v>2020</v>
      </c>
      <c r="C2245">
        <v>30.9469148357827</v>
      </c>
      <c r="D2245" t="s">
        <v>71</v>
      </c>
      <c r="E2245" t="s">
        <v>72</v>
      </c>
      <c r="F2245" t="s">
        <v>49</v>
      </c>
    </row>
    <row r="2246" spans="1:6" x14ac:dyDescent="0.2">
      <c r="A2246">
        <v>82168044</v>
      </c>
      <c r="B2246">
        <v>2019</v>
      </c>
      <c r="C2246">
        <v>32.574855199278097</v>
      </c>
      <c r="D2246" t="s">
        <v>71</v>
      </c>
      <c r="E2246" t="s">
        <v>72</v>
      </c>
      <c r="F2246" t="s">
        <v>49</v>
      </c>
    </row>
    <row r="2247" spans="1:6" x14ac:dyDescent="0.2">
      <c r="A2247">
        <v>82168044</v>
      </c>
      <c r="B2247">
        <v>2018</v>
      </c>
      <c r="C2247">
        <v>31.890660951737701</v>
      </c>
      <c r="D2247" t="s">
        <v>71</v>
      </c>
      <c r="E2247" t="s">
        <v>72</v>
      </c>
      <c r="F2247" t="s">
        <v>49</v>
      </c>
    </row>
    <row r="2248" spans="1:6" x14ac:dyDescent="0.2">
      <c r="A2248">
        <v>82168044</v>
      </c>
      <c r="B2248">
        <v>2017</v>
      </c>
      <c r="C2248">
        <v>30.272201561556901</v>
      </c>
      <c r="D2248" t="s">
        <v>71</v>
      </c>
      <c r="E2248" t="s">
        <v>72</v>
      </c>
      <c r="F2248" t="s">
        <v>49</v>
      </c>
    </row>
    <row r="2249" spans="1:6" x14ac:dyDescent="0.2">
      <c r="A2249">
        <v>82168044</v>
      </c>
      <c r="B2249">
        <v>2016</v>
      </c>
      <c r="C2249">
        <v>30.902528138309702</v>
      </c>
      <c r="D2249" t="s">
        <v>71</v>
      </c>
      <c r="E2249" t="s">
        <v>72</v>
      </c>
      <c r="F2249" t="s">
        <v>49</v>
      </c>
    </row>
    <row r="2250" spans="1:6" x14ac:dyDescent="0.2">
      <c r="A2250">
        <v>82168044</v>
      </c>
      <c r="B2250">
        <v>2015</v>
      </c>
      <c r="C2250">
        <v>30.8329193575095</v>
      </c>
      <c r="D2250" t="s">
        <v>71</v>
      </c>
      <c r="E2250" t="s">
        <v>72</v>
      </c>
      <c r="F2250" t="s">
        <v>49</v>
      </c>
    </row>
    <row r="2251" spans="1:6" x14ac:dyDescent="0.2">
      <c r="A2251">
        <v>82168044</v>
      </c>
      <c r="B2251">
        <v>2014</v>
      </c>
      <c r="C2251">
        <v>36.654646890733403</v>
      </c>
      <c r="D2251" t="s">
        <v>71</v>
      </c>
      <c r="E2251" t="s">
        <v>72</v>
      </c>
      <c r="F2251" t="s">
        <v>49</v>
      </c>
    </row>
    <row r="2252" spans="1:6" x14ac:dyDescent="0.2">
      <c r="A2252">
        <v>82168044</v>
      </c>
      <c r="B2252">
        <v>2013</v>
      </c>
      <c r="C2252">
        <v>35.537190082644599</v>
      </c>
      <c r="D2252" t="s">
        <v>71</v>
      </c>
      <c r="E2252" t="s">
        <v>72</v>
      </c>
      <c r="F2252" t="s">
        <v>49</v>
      </c>
    </row>
    <row r="2253" spans="1:6" x14ac:dyDescent="0.2">
      <c r="A2253">
        <v>82168044</v>
      </c>
      <c r="B2253">
        <v>2012</v>
      </c>
      <c r="C2253">
        <v>31.481481481481499</v>
      </c>
      <c r="D2253" t="s">
        <v>71</v>
      </c>
      <c r="E2253" t="s">
        <v>72</v>
      </c>
      <c r="F2253" t="s">
        <v>49</v>
      </c>
    </row>
    <row r="2254" spans="1:6" x14ac:dyDescent="0.2">
      <c r="A2254">
        <v>82168044</v>
      </c>
      <c r="B2254">
        <v>2011</v>
      </c>
      <c r="C2254">
        <v>40.869565217391298</v>
      </c>
      <c r="D2254" t="s">
        <v>71</v>
      </c>
      <c r="E2254" t="s">
        <v>72</v>
      </c>
      <c r="F2254" t="s">
        <v>49</v>
      </c>
    </row>
    <row r="2255" spans="1:6" x14ac:dyDescent="0.2">
      <c r="A2255">
        <v>55740956</v>
      </c>
      <c r="B2255">
        <v>2018</v>
      </c>
      <c r="C2255">
        <v>32.8882888355148</v>
      </c>
      <c r="D2255" t="s">
        <v>1029</v>
      </c>
      <c r="E2255" t="s">
        <v>18</v>
      </c>
      <c r="F2255" t="s">
        <v>19</v>
      </c>
    </row>
    <row r="2256" spans="1:6" x14ac:dyDescent="0.2">
      <c r="A2256">
        <v>55740956</v>
      </c>
      <c r="B2256">
        <v>2016</v>
      </c>
      <c r="C2256">
        <v>35.861600427039399</v>
      </c>
      <c r="D2256" t="s">
        <v>1029</v>
      </c>
      <c r="E2256" t="s">
        <v>18</v>
      </c>
      <c r="F2256" t="s">
        <v>19</v>
      </c>
    </row>
    <row r="2257" spans="1:6" x14ac:dyDescent="0.2">
      <c r="A2257">
        <v>17828163</v>
      </c>
      <c r="B2257">
        <v>2020</v>
      </c>
      <c r="C2257">
        <v>63.887777777777799</v>
      </c>
      <c r="D2257" t="s">
        <v>718</v>
      </c>
      <c r="E2257" t="s">
        <v>719</v>
      </c>
      <c r="F2257" t="s">
        <v>1126</v>
      </c>
    </row>
    <row r="2258" spans="1:6" x14ac:dyDescent="0.2">
      <c r="A2258">
        <v>17828163</v>
      </c>
      <c r="B2258">
        <v>2019</v>
      </c>
      <c r="C2258">
        <v>60.9</v>
      </c>
      <c r="D2258" t="s">
        <v>718</v>
      </c>
      <c r="E2258" t="s">
        <v>719</v>
      </c>
      <c r="F2258" t="s">
        <v>1126</v>
      </c>
    </row>
    <row r="2259" spans="1:6" x14ac:dyDescent="0.2">
      <c r="A2259">
        <v>17828163</v>
      </c>
      <c r="B2259">
        <v>2018</v>
      </c>
      <c r="C2259">
        <v>57.3888888888889</v>
      </c>
      <c r="D2259" t="s">
        <v>718</v>
      </c>
      <c r="E2259" t="s">
        <v>719</v>
      </c>
      <c r="F2259" t="s">
        <v>1126</v>
      </c>
    </row>
    <row r="2260" spans="1:6" x14ac:dyDescent="0.2">
      <c r="A2260">
        <v>17828163</v>
      </c>
      <c r="B2260">
        <v>2017</v>
      </c>
      <c r="C2260">
        <v>58.066666666666698</v>
      </c>
      <c r="D2260" t="s">
        <v>718</v>
      </c>
      <c r="E2260" t="s">
        <v>719</v>
      </c>
      <c r="F2260" t="s">
        <v>1126</v>
      </c>
    </row>
    <row r="2261" spans="1:6" x14ac:dyDescent="0.2">
      <c r="A2261">
        <v>17828163</v>
      </c>
      <c r="B2261">
        <v>2016</v>
      </c>
      <c r="C2261">
        <v>49.627272727272697</v>
      </c>
      <c r="D2261" t="s">
        <v>718</v>
      </c>
      <c r="E2261" t="s">
        <v>719</v>
      </c>
      <c r="F2261" t="s">
        <v>1126</v>
      </c>
    </row>
    <row r="2262" spans="1:6" x14ac:dyDescent="0.2">
      <c r="A2262">
        <v>17828163</v>
      </c>
      <c r="B2262">
        <v>2015</v>
      </c>
      <c r="C2262">
        <v>39.497500000000002</v>
      </c>
      <c r="D2262" t="s">
        <v>718</v>
      </c>
      <c r="E2262" t="s">
        <v>719</v>
      </c>
      <c r="F2262" t="s">
        <v>1126</v>
      </c>
    </row>
    <row r="2263" spans="1:6" x14ac:dyDescent="0.2">
      <c r="A2263">
        <v>17828163</v>
      </c>
      <c r="B2263">
        <v>2014</v>
      </c>
      <c r="C2263">
        <v>40</v>
      </c>
      <c r="D2263" t="s">
        <v>718</v>
      </c>
      <c r="E2263" t="s">
        <v>719</v>
      </c>
      <c r="F2263" t="s">
        <v>1126</v>
      </c>
    </row>
    <row r="2264" spans="1:6" x14ac:dyDescent="0.2">
      <c r="A2264">
        <v>17828163</v>
      </c>
      <c r="B2264">
        <v>2013</v>
      </c>
      <c r="C2264">
        <v>43.3333333333333</v>
      </c>
      <c r="D2264" t="s">
        <v>718</v>
      </c>
      <c r="E2264" t="s">
        <v>719</v>
      </c>
      <c r="F2264" t="s">
        <v>1126</v>
      </c>
    </row>
    <row r="2265" spans="1:6" x14ac:dyDescent="0.2">
      <c r="A2265">
        <v>17828163</v>
      </c>
      <c r="B2265">
        <v>2011</v>
      </c>
      <c r="C2265">
        <v>40</v>
      </c>
      <c r="D2265" t="s">
        <v>718</v>
      </c>
      <c r="E2265" t="s">
        <v>719</v>
      </c>
      <c r="F2265" t="s">
        <v>1126</v>
      </c>
    </row>
    <row r="2266" spans="1:6" x14ac:dyDescent="0.2">
      <c r="A2266">
        <v>74564803</v>
      </c>
      <c r="B2266">
        <v>2020</v>
      </c>
      <c r="C2266">
        <v>63.0625</v>
      </c>
      <c r="D2266" t="s">
        <v>705</v>
      </c>
      <c r="E2266" t="s">
        <v>655</v>
      </c>
      <c r="F2266" t="s">
        <v>1126</v>
      </c>
    </row>
    <row r="2267" spans="1:6" x14ac:dyDescent="0.2">
      <c r="A2267">
        <v>74564803</v>
      </c>
      <c r="B2267">
        <v>2019</v>
      </c>
      <c r="C2267">
        <v>56.5</v>
      </c>
      <c r="D2267" t="s">
        <v>705</v>
      </c>
      <c r="E2267" t="s">
        <v>655</v>
      </c>
      <c r="F2267" t="s">
        <v>1126</v>
      </c>
    </row>
    <row r="2268" spans="1:6" x14ac:dyDescent="0.2">
      <c r="A2268">
        <v>74564803</v>
      </c>
      <c r="B2268">
        <v>2018</v>
      </c>
      <c r="C2268">
        <v>58.784999999999997</v>
      </c>
      <c r="D2268" t="s">
        <v>705</v>
      </c>
      <c r="E2268" t="s">
        <v>655</v>
      </c>
      <c r="F2268" t="s">
        <v>1126</v>
      </c>
    </row>
    <row r="2269" spans="1:6" x14ac:dyDescent="0.2">
      <c r="A2269">
        <v>74564803</v>
      </c>
      <c r="B2269">
        <v>2017</v>
      </c>
      <c r="C2269">
        <v>49.6078260869565</v>
      </c>
      <c r="D2269" t="s">
        <v>705</v>
      </c>
      <c r="E2269" t="s">
        <v>655</v>
      </c>
      <c r="F2269" t="s">
        <v>1126</v>
      </c>
    </row>
    <row r="2270" spans="1:6" x14ac:dyDescent="0.2">
      <c r="A2270">
        <v>74564803</v>
      </c>
      <c r="B2270">
        <v>2016</v>
      </c>
      <c r="C2270">
        <v>50.530999999999999</v>
      </c>
      <c r="D2270" t="s">
        <v>705</v>
      </c>
      <c r="E2270" t="s">
        <v>655</v>
      </c>
      <c r="F2270" t="s">
        <v>1126</v>
      </c>
    </row>
    <row r="2271" spans="1:6" x14ac:dyDescent="0.2">
      <c r="A2271">
        <v>74564803</v>
      </c>
      <c r="B2271">
        <v>2015</v>
      </c>
      <c r="C2271">
        <v>47.803043478260903</v>
      </c>
      <c r="D2271" t="s">
        <v>705</v>
      </c>
      <c r="E2271" t="s">
        <v>655</v>
      </c>
      <c r="F2271" t="s">
        <v>1126</v>
      </c>
    </row>
    <row r="2272" spans="1:6" x14ac:dyDescent="0.2">
      <c r="A2272">
        <v>74564803</v>
      </c>
      <c r="B2272">
        <v>2014</v>
      </c>
      <c r="C2272">
        <v>52.198</v>
      </c>
      <c r="D2272" t="s">
        <v>705</v>
      </c>
      <c r="E2272" t="s">
        <v>655</v>
      </c>
      <c r="F2272" t="s">
        <v>1126</v>
      </c>
    </row>
    <row r="2273" spans="1:6" x14ac:dyDescent="0.2">
      <c r="A2273">
        <v>74564803</v>
      </c>
      <c r="B2273">
        <v>2013</v>
      </c>
      <c r="C2273">
        <v>43.997999999999998</v>
      </c>
      <c r="D2273" t="s">
        <v>705</v>
      </c>
      <c r="E2273" t="s">
        <v>655</v>
      </c>
      <c r="F2273" t="s">
        <v>1126</v>
      </c>
    </row>
    <row r="2274" spans="1:6" x14ac:dyDescent="0.2">
      <c r="A2274">
        <v>74564803</v>
      </c>
      <c r="B2274">
        <v>2012</v>
      </c>
      <c r="C2274">
        <v>52.597999999999999</v>
      </c>
      <c r="D2274" t="s">
        <v>705</v>
      </c>
      <c r="E2274" t="s">
        <v>655</v>
      </c>
      <c r="F2274" t="s">
        <v>1126</v>
      </c>
    </row>
    <row r="2275" spans="1:6" x14ac:dyDescent="0.2">
      <c r="A2275">
        <v>24735335</v>
      </c>
      <c r="B2275">
        <v>2020</v>
      </c>
      <c r="C2275">
        <v>12.0406692130423</v>
      </c>
      <c r="D2275" t="s">
        <v>307</v>
      </c>
      <c r="E2275"/>
      <c r="F2275" t="s">
        <v>308</v>
      </c>
    </row>
    <row r="2276" spans="1:6" x14ac:dyDescent="0.2">
      <c r="A2276">
        <v>24735335</v>
      </c>
      <c r="B2276">
        <v>2019</v>
      </c>
      <c r="C2276">
        <v>14.1970971318507</v>
      </c>
      <c r="D2276" t="s">
        <v>307</v>
      </c>
      <c r="E2276"/>
      <c r="F2276" t="s">
        <v>308</v>
      </c>
    </row>
    <row r="2277" spans="1:6" x14ac:dyDescent="0.2">
      <c r="A2277">
        <v>24735335</v>
      </c>
      <c r="B2277">
        <v>2018</v>
      </c>
      <c r="C2277">
        <v>14.1238910399723</v>
      </c>
      <c r="D2277" t="s">
        <v>307</v>
      </c>
      <c r="E2277"/>
      <c r="F2277" t="s">
        <v>308</v>
      </c>
    </row>
    <row r="2278" spans="1:6" x14ac:dyDescent="0.2">
      <c r="A2278">
        <v>24735335</v>
      </c>
      <c r="B2278">
        <v>2017</v>
      </c>
      <c r="C2278">
        <v>12.551527905449101</v>
      </c>
      <c r="D2278" t="s">
        <v>307</v>
      </c>
      <c r="E2278"/>
      <c r="F2278" t="s">
        <v>308</v>
      </c>
    </row>
    <row r="2279" spans="1:6" x14ac:dyDescent="0.2">
      <c r="A2279">
        <v>24735335</v>
      </c>
      <c r="B2279">
        <v>2016</v>
      </c>
      <c r="C2279">
        <v>9.5942488442063798</v>
      </c>
      <c r="D2279" t="s">
        <v>307</v>
      </c>
      <c r="E2279"/>
      <c r="F2279" t="s">
        <v>308</v>
      </c>
    </row>
    <row r="2280" spans="1:6" x14ac:dyDescent="0.2">
      <c r="A2280">
        <v>24735335</v>
      </c>
      <c r="B2280">
        <v>2015</v>
      </c>
      <c r="C2280">
        <v>11.984294979609899</v>
      </c>
      <c r="D2280" t="s">
        <v>307</v>
      </c>
      <c r="E2280"/>
      <c r="F2280" t="s">
        <v>308</v>
      </c>
    </row>
    <row r="2281" spans="1:6" x14ac:dyDescent="0.2">
      <c r="A2281">
        <v>24735335</v>
      </c>
      <c r="B2281">
        <v>2014</v>
      </c>
      <c r="C2281">
        <v>20.073334987091499</v>
      </c>
      <c r="D2281" t="s">
        <v>307</v>
      </c>
      <c r="E2281"/>
      <c r="F2281" t="s">
        <v>308</v>
      </c>
    </row>
    <row r="2282" spans="1:6" x14ac:dyDescent="0.2">
      <c r="A2282">
        <v>24735335</v>
      </c>
      <c r="B2282">
        <v>2013</v>
      </c>
      <c r="C2282">
        <v>18.890597539210301</v>
      </c>
      <c r="D2282" t="s">
        <v>307</v>
      </c>
      <c r="E2282"/>
      <c r="F2282" t="s">
        <v>308</v>
      </c>
    </row>
    <row r="2283" spans="1:6" x14ac:dyDescent="0.2">
      <c r="A2283">
        <v>24735335</v>
      </c>
      <c r="B2283">
        <v>2012</v>
      </c>
      <c r="C2283">
        <v>19.100000000000001</v>
      </c>
      <c r="D2283" t="s">
        <v>307</v>
      </c>
      <c r="E2283"/>
      <c r="F2283" t="s">
        <v>308</v>
      </c>
    </row>
    <row r="2284" spans="1:6" x14ac:dyDescent="0.2">
      <c r="A2284">
        <v>44407511</v>
      </c>
      <c r="B2284">
        <v>2020</v>
      </c>
      <c r="C2284">
        <v>52.205956626805602</v>
      </c>
      <c r="D2284" t="s">
        <v>840</v>
      </c>
      <c r="E2284" t="s">
        <v>32</v>
      </c>
      <c r="F2284" t="s">
        <v>33</v>
      </c>
    </row>
    <row r="2285" spans="1:6" x14ac:dyDescent="0.2">
      <c r="A2285">
        <v>44407511</v>
      </c>
      <c r="B2285">
        <v>2019</v>
      </c>
      <c r="C2285">
        <v>44.387702686279802</v>
      </c>
      <c r="D2285" t="s">
        <v>840</v>
      </c>
      <c r="E2285" t="s">
        <v>32</v>
      </c>
      <c r="F2285" t="s">
        <v>33</v>
      </c>
    </row>
    <row r="2286" spans="1:6" x14ac:dyDescent="0.2">
      <c r="A2286">
        <v>44407511</v>
      </c>
      <c r="B2286">
        <v>2018</v>
      </c>
      <c r="C2286">
        <v>57.235889809722202</v>
      </c>
      <c r="D2286" t="s">
        <v>840</v>
      </c>
      <c r="E2286" t="s">
        <v>32</v>
      </c>
      <c r="F2286" t="s">
        <v>33</v>
      </c>
    </row>
    <row r="2287" spans="1:6" x14ac:dyDescent="0.2">
      <c r="A2287">
        <v>44407511</v>
      </c>
      <c r="B2287">
        <v>2017</v>
      </c>
      <c r="C2287">
        <v>46.121591735010803</v>
      </c>
      <c r="D2287" t="s">
        <v>840</v>
      </c>
      <c r="E2287" t="s">
        <v>32</v>
      </c>
      <c r="F2287" t="s">
        <v>33</v>
      </c>
    </row>
    <row r="2288" spans="1:6" x14ac:dyDescent="0.2">
      <c r="A2288">
        <v>44407511</v>
      </c>
      <c r="B2288">
        <v>2015</v>
      </c>
      <c r="C2288">
        <v>45.889896137026199</v>
      </c>
      <c r="D2288" t="s">
        <v>840</v>
      </c>
      <c r="E2288" t="s">
        <v>32</v>
      </c>
      <c r="F2288" t="s">
        <v>33</v>
      </c>
    </row>
    <row r="2289" spans="1:6" x14ac:dyDescent="0.2">
      <c r="A2289">
        <v>44407511</v>
      </c>
      <c r="B2289">
        <v>2014</v>
      </c>
      <c r="C2289">
        <v>43.298937411706902</v>
      </c>
      <c r="D2289" t="s">
        <v>840</v>
      </c>
      <c r="E2289" t="s">
        <v>32</v>
      </c>
      <c r="F2289" t="s">
        <v>33</v>
      </c>
    </row>
    <row r="2290" spans="1:6" x14ac:dyDescent="0.2">
      <c r="A2290">
        <v>44407511</v>
      </c>
      <c r="B2290">
        <v>2013</v>
      </c>
      <c r="C2290">
        <v>48.076923076923102</v>
      </c>
      <c r="D2290" t="s">
        <v>840</v>
      </c>
      <c r="E2290" t="s">
        <v>32</v>
      </c>
      <c r="F2290" t="s">
        <v>33</v>
      </c>
    </row>
    <row r="2291" spans="1:6" x14ac:dyDescent="0.2">
      <c r="A2291">
        <v>50545700</v>
      </c>
      <c r="B2291">
        <v>2019</v>
      </c>
      <c r="C2291">
        <v>56.5555555555556</v>
      </c>
      <c r="D2291" t="s">
        <v>873</v>
      </c>
      <c r="E2291" t="s">
        <v>872</v>
      </c>
      <c r="F2291" t="s">
        <v>1126</v>
      </c>
    </row>
    <row r="2292" spans="1:6" x14ac:dyDescent="0.2">
      <c r="A2292">
        <v>50545700</v>
      </c>
      <c r="B2292">
        <v>2018</v>
      </c>
      <c r="C2292">
        <v>54</v>
      </c>
      <c r="D2292" t="s">
        <v>873</v>
      </c>
      <c r="E2292" t="s">
        <v>872</v>
      </c>
      <c r="F2292" t="s">
        <v>1126</v>
      </c>
    </row>
    <row r="2293" spans="1:6" x14ac:dyDescent="0.2">
      <c r="A2293">
        <v>50545700</v>
      </c>
      <c r="B2293">
        <v>2017</v>
      </c>
      <c r="C2293">
        <v>51.195999999999998</v>
      </c>
      <c r="D2293" t="s">
        <v>873</v>
      </c>
      <c r="E2293" t="s">
        <v>872</v>
      </c>
      <c r="F2293" t="s">
        <v>1126</v>
      </c>
    </row>
    <row r="2294" spans="1:6" x14ac:dyDescent="0.2">
      <c r="A2294">
        <v>50545700</v>
      </c>
      <c r="B2294">
        <v>2016</v>
      </c>
      <c r="C2294">
        <v>52.2</v>
      </c>
      <c r="D2294" t="s">
        <v>873</v>
      </c>
      <c r="E2294" t="s">
        <v>872</v>
      </c>
      <c r="F2294" t="s">
        <v>1126</v>
      </c>
    </row>
    <row r="2295" spans="1:6" x14ac:dyDescent="0.2">
      <c r="A2295">
        <v>19087747</v>
      </c>
      <c r="B2295">
        <v>2018</v>
      </c>
      <c r="C2295">
        <v>38.070769590096901</v>
      </c>
      <c r="D2295" t="s">
        <v>47</v>
      </c>
      <c r="E2295" t="s">
        <v>48</v>
      </c>
      <c r="F2295" t="s">
        <v>49</v>
      </c>
    </row>
    <row r="2296" spans="1:6" x14ac:dyDescent="0.2">
      <c r="A2296">
        <v>19087747</v>
      </c>
      <c r="B2296">
        <v>2017</v>
      </c>
      <c r="C2296">
        <v>25.003731900283601</v>
      </c>
      <c r="D2296" t="s">
        <v>47</v>
      </c>
      <c r="E2296" t="s">
        <v>48</v>
      </c>
      <c r="F2296" t="s">
        <v>49</v>
      </c>
    </row>
    <row r="2297" spans="1:6" x14ac:dyDescent="0.2">
      <c r="A2297">
        <v>19376025</v>
      </c>
      <c r="B2297">
        <v>2019</v>
      </c>
      <c r="C2297">
        <v>57.018788659546203</v>
      </c>
      <c r="D2297" t="s">
        <v>1060</v>
      </c>
      <c r="E2297" t="s">
        <v>302</v>
      </c>
      <c r="F2297" t="s">
        <v>33</v>
      </c>
    </row>
    <row r="2298" spans="1:6" x14ac:dyDescent="0.2">
      <c r="A2298">
        <v>19376025</v>
      </c>
      <c r="B2298">
        <v>2018</v>
      </c>
      <c r="C2298">
        <v>59.165189466229698</v>
      </c>
      <c r="D2298" t="s">
        <v>1060</v>
      </c>
      <c r="E2298" t="s">
        <v>302</v>
      </c>
      <c r="F2298" t="s">
        <v>33</v>
      </c>
    </row>
    <row r="2299" spans="1:6" x14ac:dyDescent="0.2">
      <c r="A2299">
        <v>22465846</v>
      </c>
      <c r="B2299">
        <v>2020</v>
      </c>
      <c r="C2299">
        <v>25.126215381136198</v>
      </c>
      <c r="D2299" t="s">
        <v>882</v>
      </c>
      <c r="E2299" t="s">
        <v>883</v>
      </c>
      <c r="F2299" t="s">
        <v>183</v>
      </c>
    </row>
    <row r="2300" spans="1:6" x14ac:dyDescent="0.2">
      <c r="A2300">
        <v>22465846</v>
      </c>
      <c r="B2300">
        <v>2019</v>
      </c>
      <c r="C2300">
        <v>27.687132982488301</v>
      </c>
      <c r="D2300" t="s">
        <v>882</v>
      </c>
      <c r="E2300" t="s">
        <v>883</v>
      </c>
      <c r="F2300" t="s">
        <v>183</v>
      </c>
    </row>
    <row r="2301" spans="1:6" x14ac:dyDescent="0.2">
      <c r="A2301">
        <v>22465846</v>
      </c>
      <c r="B2301">
        <v>2018</v>
      </c>
      <c r="C2301">
        <v>26.046092810325799</v>
      </c>
      <c r="D2301" t="s">
        <v>882</v>
      </c>
      <c r="E2301" t="s">
        <v>883</v>
      </c>
      <c r="F2301" t="s">
        <v>183</v>
      </c>
    </row>
    <row r="2302" spans="1:6" x14ac:dyDescent="0.2">
      <c r="A2302">
        <v>22465846</v>
      </c>
      <c r="B2302">
        <v>2017</v>
      </c>
      <c r="C2302">
        <v>24.359908607095601</v>
      </c>
      <c r="D2302" t="s">
        <v>882</v>
      </c>
      <c r="E2302" t="s">
        <v>883</v>
      </c>
      <c r="F2302" t="s">
        <v>183</v>
      </c>
    </row>
    <row r="2303" spans="1:6" x14ac:dyDescent="0.2">
      <c r="A2303">
        <v>22465846</v>
      </c>
      <c r="B2303">
        <v>2016</v>
      </c>
      <c r="C2303">
        <v>21.499927219403801</v>
      </c>
      <c r="D2303" t="s">
        <v>882</v>
      </c>
      <c r="E2303" t="s">
        <v>883</v>
      </c>
      <c r="F2303" t="s">
        <v>183</v>
      </c>
    </row>
    <row r="2304" spans="1:6" x14ac:dyDescent="0.2">
      <c r="A2304">
        <v>22465846</v>
      </c>
      <c r="B2304">
        <v>2015</v>
      </c>
      <c r="C2304">
        <v>29.950544526046301</v>
      </c>
      <c r="D2304" t="s">
        <v>882</v>
      </c>
      <c r="E2304" t="s">
        <v>883</v>
      </c>
      <c r="F2304" t="s">
        <v>183</v>
      </c>
    </row>
    <row r="2305" spans="1:6" x14ac:dyDescent="0.2">
      <c r="A2305">
        <v>22465846</v>
      </c>
      <c r="B2305">
        <v>2014</v>
      </c>
      <c r="C2305">
        <v>41.445515983722302</v>
      </c>
      <c r="D2305" t="s">
        <v>882</v>
      </c>
      <c r="E2305" t="s">
        <v>883</v>
      </c>
      <c r="F2305" t="s">
        <v>183</v>
      </c>
    </row>
    <row r="2306" spans="1:6" x14ac:dyDescent="0.2">
      <c r="A2306">
        <v>22465846</v>
      </c>
      <c r="B2306">
        <v>2013</v>
      </c>
      <c r="C2306">
        <v>39.812646370023401</v>
      </c>
      <c r="D2306" t="s">
        <v>882</v>
      </c>
      <c r="E2306" t="s">
        <v>883</v>
      </c>
      <c r="F2306" t="s">
        <v>183</v>
      </c>
    </row>
    <row r="2307" spans="1:6" x14ac:dyDescent="0.2">
      <c r="A2307">
        <v>22465846</v>
      </c>
      <c r="B2307">
        <v>2012</v>
      </c>
      <c r="C2307">
        <v>29.036004645760698</v>
      </c>
      <c r="D2307" t="s">
        <v>882</v>
      </c>
      <c r="E2307" t="s">
        <v>883</v>
      </c>
      <c r="F2307" t="s">
        <v>183</v>
      </c>
    </row>
    <row r="2308" spans="1:6" x14ac:dyDescent="0.2">
      <c r="A2308">
        <v>22465846</v>
      </c>
      <c r="B2308">
        <v>2011</v>
      </c>
      <c r="C2308">
        <v>57.5914721982138</v>
      </c>
      <c r="D2308" t="s">
        <v>882</v>
      </c>
      <c r="E2308" t="s">
        <v>883</v>
      </c>
      <c r="F2308" t="s">
        <v>183</v>
      </c>
    </row>
    <row r="2309" spans="1:6" x14ac:dyDescent="0.2">
      <c r="A2309">
        <v>73806180</v>
      </c>
      <c r="B2309">
        <v>2020</v>
      </c>
      <c r="C2309">
        <v>31.760325584263299</v>
      </c>
      <c r="D2309" t="s">
        <v>151</v>
      </c>
      <c r="E2309" t="s">
        <v>152</v>
      </c>
      <c r="F2309" t="s">
        <v>153</v>
      </c>
    </row>
    <row r="2310" spans="1:6" x14ac:dyDescent="0.2">
      <c r="A2310">
        <v>73806180</v>
      </c>
      <c r="B2310">
        <v>2019</v>
      </c>
      <c r="C2310">
        <v>32.636726559978499</v>
      </c>
      <c r="D2310" t="s">
        <v>151</v>
      </c>
      <c r="E2310" t="s">
        <v>152</v>
      </c>
      <c r="F2310" t="s">
        <v>153</v>
      </c>
    </row>
    <row r="2311" spans="1:6" x14ac:dyDescent="0.2">
      <c r="A2311">
        <v>73806180</v>
      </c>
      <c r="B2311">
        <v>2018</v>
      </c>
      <c r="C2311">
        <v>34.107564112007502</v>
      </c>
      <c r="D2311" t="s">
        <v>151</v>
      </c>
      <c r="E2311" t="s">
        <v>152</v>
      </c>
      <c r="F2311" t="s">
        <v>153</v>
      </c>
    </row>
    <row r="2312" spans="1:6" x14ac:dyDescent="0.2">
      <c r="A2312">
        <v>73806180</v>
      </c>
      <c r="B2312">
        <v>2017</v>
      </c>
      <c r="C2312">
        <v>34.8393048318501</v>
      </c>
      <c r="D2312" t="s">
        <v>151</v>
      </c>
      <c r="E2312" t="s">
        <v>152</v>
      </c>
      <c r="F2312" t="s">
        <v>153</v>
      </c>
    </row>
    <row r="2313" spans="1:6" x14ac:dyDescent="0.2">
      <c r="A2313">
        <v>73806180</v>
      </c>
      <c r="B2313">
        <v>2016</v>
      </c>
      <c r="C2313">
        <v>27.342214844609</v>
      </c>
      <c r="D2313" t="s">
        <v>151</v>
      </c>
      <c r="E2313" t="s">
        <v>152</v>
      </c>
      <c r="F2313" t="s">
        <v>153</v>
      </c>
    </row>
    <row r="2314" spans="1:6" x14ac:dyDescent="0.2">
      <c r="A2314">
        <v>73806180</v>
      </c>
      <c r="B2314">
        <v>2015</v>
      </c>
      <c r="C2314">
        <v>28.129898371277701</v>
      </c>
      <c r="D2314" t="s">
        <v>151</v>
      </c>
      <c r="E2314" t="s">
        <v>152</v>
      </c>
      <c r="F2314" t="s">
        <v>153</v>
      </c>
    </row>
    <row r="2315" spans="1:6" x14ac:dyDescent="0.2">
      <c r="A2315">
        <v>73806180</v>
      </c>
      <c r="B2315">
        <v>2014</v>
      </c>
      <c r="C2315">
        <v>32.407407407407398</v>
      </c>
      <c r="D2315" t="s">
        <v>151</v>
      </c>
      <c r="E2315" t="s">
        <v>152</v>
      </c>
      <c r="F2315" t="s">
        <v>153</v>
      </c>
    </row>
    <row r="2316" spans="1:6" x14ac:dyDescent="0.2">
      <c r="A2316">
        <v>73806180</v>
      </c>
      <c r="B2316">
        <v>2013</v>
      </c>
      <c r="C2316">
        <v>47.008113590263697</v>
      </c>
      <c r="D2316" t="s">
        <v>151</v>
      </c>
      <c r="E2316" t="s">
        <v>152</v>
      </c>
      <c r="F2316" t="s">
        <v>153</v>
      </c>
    </row>
    <row r="2317" spans="1:6" x14ac:dyDescent="0.2">
      <c r="A2317">
        <v>73806180</v>
      </c>
      <c r="B2317">
        <v>2012</v>
      </c>
      <c r="C2317">
        <v>40.713751868460399</v>
      </c>
      <c r="D2317" t="s">
        <v>151</v>
      </c>
      <c r="E2317" t="s">
        <v>152</v>
      </c>
      <c r="F2317" t="s">
        <v>153</v>
      </c>
    </row>
    <row r="2318" spans="1:6" x14ac:dyDescent="0.2">
      <c r="A2318">
        <v>73806180</v>
      </c>
      <c r="B2318">
        <v>2011</v>
      </c>
      <c r="C2318">
        <v>55.012</v>
      </c>
      <c r="D2318" t="s">
        <v>151</v>
      </c>
      <c r="E2318" t="s">
        <v>152</v>
      </c>
      <c r="F2318" t="s">
        <v>153</v>
      </c>
    </row>
    <row r="2319" spans="1:6" x14ac:dyDescent="0.2">
      <c r="A2319">
        <v>72754005</v>
      </c>
      <c r="B2319">
        <v>2019</v>
      </c>
      <c r="C2319">
        <v>35.369047885558203</v>
      </c>
      <c r="D2319" t="s">
        <v>475</v>
      </c>
      <c r="E2319"/>
      <c r="F2319" t="s">
        <v>28</v>
      </c>
    </row>
    <row r="2320" spans="1:6" x14ac:dyDescent="0.2">
      <c r="A2320">
        <v>72754005</v>
      </c>
      <c r="B2320">
        <v>2018</v>
      </c>
      <c r="C2320">
        <v>35.034450543033998</v>
      </c>
      <c r="D2320" t="s">
        <v>475</v>
      </c>
      <c r="E2320"/>
      <c r="F2320" t="s">
        <v>28</v>
      </c>
    </row>
    <row r="2321" spans="1:6" x14ac:dyDescent="0.2">
      <c r="A2321">
        <v>72754005</v>
      </c>
      <c r="B2321">
        <v>2016</v>
      </c>
      <c r="C2321">
        <v>29.742309002156901</v>
      </c>
      <c r="D2321" t="s">
        <v>475</v>
      </c>
      <c r="E2321"/>
      <c r="F2321" t="s">
        <v>28</v>
      </c>
    </row>
    <row r="2322" spans="1:6" x14ac:dyDescent="0.2">
      <c r="A2322">
        <v>72754005</v>
      </c>
      <c r="B2322">
        <v>2015</v>
      </c>
      <c r="C2322">
        <v>29.781420765027299</v>
      </c>
      <c r="D2322" t="s">
        <v>475</v>
      </c>
      <c r="E2322"/>
      <c r="F2322" t="s">
        <v>28</v>
      </c>
    </row>
    <row r="2323" spans="1:6" x14ac:dyDescent="0.2">
      <c r="A2323">
        <v>68039315</v>
      </c>
      <c r="B2323">
        <v>2020</v>
      </c>
      <c r="C2323">
        <v>46.054557086282799</v>
      </c>
      <c r="D2323" t="s">
        <v>51</v>
      </c>
      <c r="E2323" t="s">
        <v>52</v>
      </c>
      <c r="F2323" t="s">
        <v>33</v>
      </c>
    </row>
    <row r="2324" spans="1:6" x14ac:dyDescent="0.2">
      <c r="A2324">
        <v>68039315</v>
      </c>
      <c r="B2324">
        <v>2019</v>
      </c>
      <c r="C2324">
        <v>45.582069913055101</v>
      </c>
      <c r="D2324" t="s">
        <v>51</v>
      </c>
      <c r="E2324" t="s">
        <v>52</v>
      </c>
      <c r="F2324" t="s">
        <v>33</v>
      </c>
    </row>
    <row r="2325" spans="1:6" x14ac:dyDescent="0.2">
      <c r="A2325">
        <v>68039315</v>
      </c>
      <c r="B2325">
        <v>2018</v>
      </c>
      <c r="C2325">
        <v>50.353772198948803</v>
      </c>
      <c r="D2325" t="s">
        <v>51</v>
      </c>
      <c r="E2325" t="s">
        <v>52</v>
      </c>
      <c r="F2325" t="s">
        <v>33</v>
      </c>
    </row>
    <row r="2326" spans="1:6" x14ac:dyDescent="0.2">
      <c r="A2326">
        <v>68039315</v>
      </c>
      <c r="B2326">
        <v>2017</v>
      </c>
      <c r="C2326">
        <v>46.302908625595698</v>
      </c>
      <c r="D2326" t="s">
        <v>51</v>
      </c>
      <c r="E2326" t="s">
        <v>52</v>
      </c>
      <c r="F2326" t="s">
        <v>33</v>
      </c>
    </row>
    <row r="2327" spans="1:6" x14ac:dyDescent="0.2">
      <c r="A2327">
        <v>68039315</v>
      </c>
      <c r="B2327">
        <v>2015</v>
      </c>
      <c r="C2327">
        <v>42.057955994898002</v>
      </c>
      <c r="D2327" t="s">
        <v>51</v>
      </c>
      <c r="E2327" t="s">
        <v>52</v>
      </c>
      <c r="F2327" t="s">
        <v>33</v>
      </c>
    </row>
    <row r="2328" spans="1:6" x14ac:dyDescent="0.2">
      <c r="A2328">
        <v>68039315</v>
      </c>
      <c r="B2328">
        <v>2014</v>
      </c>
      <c r="C2328">
        <v>44.420753375977299</v>
      </c>
      <c r="D2328" t="s">
        <v>51</v>
      </c>
      <c r="E2328" t="s">
        <v>52</v>
      </c>
      <c r="F2328" t="s">
        <v>33</v>
      </c>
    </row>
    <row r="2329" spans="1:6" x14ac:dyDescent="0.2">
      <c r="A2329">
        <v>68039315</v>
      </c>
      <c r="B2329">
        <v>2013</v>
      </c>
      <c r="C2329">
        <v>43.536324786324798</v>
      </c>
      <c r="D2329" t="s">
        <v>51</v>
      </c>
      <c r="E2329" t="s">
        <v>52</v>
      </c>
      <c r="F2329" t="s">
        <v>33</v>
      </c>
    </row>
    <row r="2330" spans="1:6" x14ac:dyDescent="0.2">
      <c r="A2330">
        <v>68039315</v>
      </c>
      <c r="B2330">
        <v>2012</v>
      </c>
      <c r="C2330">
        <v>42.682200647249203</v>
      </c>
      <c r="D2330" t="s">
        <v>51</v>
      </c>
      <c r="E2330" t="s">
        <v>52</v>
      </c>
      <c r="F2330" t="s">
        <v>33</v>
      </c>
    </row>
    <row r="2331" spans="1:6" x14ac:dyDescent="0.2">
      <c r="A2331">
        <v>68039315</v>
      </c>
      <c r="B2331">
        <v>2011</v>
      </c>
      <c r="C2331">
        <v>47.766323024054998</v>
      </c>
      <c r="D2331" t="s">
        <v>51</v>
      </c>
      <c r="E2331" t="s">
        <v>52</v>
      </c>
      <c r="F2331" t="s">
        <v>33</v>
      </c>
    </row>
    <row r="2332" spans="1:6" x14ac:dyDescent="0.2">
      <c r="A2332">
        <v>68039315</v>
      </c>
      <c r="B2332">
        <v>2010</v>
      </c>
      <c r="C2332">
        <v>34.663461538461497</v>
      </c>
      <c r="D2332" t="s">
        <v>51</v>
      </c>
      <c r="E2332" t="s">
        <v>52</v>
      </c>
      <c r="F2332" t="s">
        <v>33</v>
      </c>
    </row>
    <row r="2333" spans="1:6" x14ac:dyDescent="0.2">
      <c r="A2333">
        <v>20978738</v>
      </c>
      <c r="B2333">
        <v>2020</v>
      </c>
      <c r="C2333">
        <v>6.6489889946299803</v>
      </c>
      <c r="D2333" t="s">
        <v>93</v>
      </c>
      <c r="E2333"/>
      <c r="F2333" t="s">
        <v>94</v>
      </c>
    </row>
    <row r="2334" spans="1:6" x14ac:dyDescent="0.2">
      <c r="A2334">
        <v>20978738</v>
      </c>
      <c r="B2334">
        <v>2019</v>
      </c>
      <c r="C2334">
        <v>7.2131559586428304</v>
      </c>
      <c r="D2334" t="s">
        <v>93</v>
      </c>
      <c r="E2334"/>
      <c r="F2334" t="s">
        <v>94</v>
      </c>
    </row>
    <row r="2335" spans="1:6" x14ac:dyDescent="0.2">
      <c r="A2335">
        <v>20978738</v>
      </c>
      <c r="B2335">
        <v>2018</v>
      </c>
      <c r="C2335">
        <v>7.55504565042395</v>
      </c>
      <c r="D2335" t="s">
        <v>93</v>
      </c>
      <c r="E2335"/>
      <c r="F2335" t="s">
        <v>94</v>
      </c>
    </row>
    <row r="2336" spans="1:6" x14ac:dyDescent="0.2">
      <c r="A2336">
        <v>20978738</v>
      </c>
      <c r="B2336">
        <v>2017</v>
      </c>
      <c r="C2336">
        <v>7.6291514822421602</v>
      </c>
      <c r="D2336" t="s">
        <v>93</v>
      </c>
      <c r="E2336"/>
      <c r="F2336" t="s">
        <v>94</v>
      </c>
    </row>
    <row r="2337" spans="1:6" x14ac:dyDescent="0.2">
      <c r="A2337">
        <v>20978738</v>
      </c>
      <c r="B2337">
        <v>2016</v>
      </c>
      <c r="C2337">
        <v>5.7242205486958602</v>
      </c>
      <c r="D2337" t="s">
        <v>93</v>
      </c>
      <c r="E2337"/>
      <c r="F2337" t="s">
        <v>94</v>
      </c>
    </row>
    <row r="2338" spans="1:6" x14ac:dyDescent="0.2">
      <c r="A2338">
        <v>20978738</v>
      </c>
      <c r="B2338">
        <v>2015</v>
      </c>
      <c r="C2338">
        <v>6.5288083550599003</v>
      </c>
      <c r="D2338" t="s">
        <v>93</v>
      </c>
      <c r="E2338"/>
      <c r="F2338" t="s">
        <v>94</v>
      </c>
    </row>
    <row r="2339" spans="1:6" x14ac:dyDescent="0.2">
      <c r="A2339">
        <v>20978738</v>
      </c>
      <c r="B2339">
        <v>2014</v>
      </c>
      <c r="C2339">
        <v>10.3287483245389</v>
      </c>
      <c r="D2339" t="s">
        <v>93</v>
      </c>
      <c r="E2339"/>
      <c r="F2339" t="s">
        <v>94</v>
      </c>
    </row>
    <row r="2340" spans="1:6" x14ac:dyDescent="0.2">
      <c r="A2340">
        <v>20978738</v>
      </c>
      <c r="B2340">
        <v>2013</v>
      </c>
      <c r="C2340">
        <v>12.545999727409001</v>
      </c>
      <c r="D2340" t="s">
        <v>93</v>
      </c>
      <c r="E2340"/>
      <c r="F2340" t="s">
        <v>94</v>
      </c>
    </row>
    <row r="2341" spans="1:6" x14ac:dyDescent="0.2">
      <c r="A2341">
        <v>20978738</v>
      </c>
      <c r="B2341">
        <v>2012</v>
      </c>
      <c r="C2341">
        <v>11.9924404374632</v>
      </c>
      <c r="D2341" t="s">
        <v>93</v>
      </c>
      <c r="E2341"/>
      <c r="F2341" t="s">
        <v>94</v>
      </c>
    </row>
    <row r="2342" spans="1:6" x14ac:dyDescent="0.2">
      <c r="A2342">
        <v>20978738</v>
      </c>
      <c r="B2342">
        <v>2011</v>
      </c>
      <c r="C2342">
        <v>13.163568108687899</v>
      </c>
      <c r="D2342" t="s">
        <v>93</v>
      </c>
      <c r="E2342"/>
      <c r="F2342" t="s">
        <v>94</v>
      </c>
    </row>
    <row r="2343" spans="1:6" x14ac:dyDescent="0.2">
      <c r="A2343">
        <v>20978738</v>
      </c>
      <c r="B2343">
        <v>2010</v>
      </c>
      <c r="C2343">
        <v>16.271716844717801</v>
      </c>
      <c r="D2343" t="s">
        <v>93</v>
      </c>
      <c r="E2343"/>
      <c r="F2343" t="s">
        <v>94</v>
      </c>
    </row>
    <row r="2344" spans="1:6" x14ac:dyDescent="0.2">
      <c r="A2344">
        <v>39383132</v>
      </c>
      <c r="B2344">
        <v>2020</v>
      </c>
      <c r="C2344">
        <v>10.739385854845899</v>
      </c>
      <c r="D2344" t="s">
        <v>140</v>
      </c>
      <c r="E2344" t="s">
        <v>141</v>
      </c>
      <c r="F2344" t="s">
        <v>137</v>
      </c>
    </row>
    <row r="2345" spans="1:6" x14ac:dyDescent="0.2">
      <c r="A2345">
        <v>39383132</v>
      </c>
      <c r="B2345">
        <v>2019</v>
      </c>
      <c r="C2345">
        <v>10.726061161072799</v>
      </c>
      <c r="D2345" t="s">
        <v>140</v>
      </c>
      <c r="E2345" t="s">
        <v>141</v>
      </c>
      <c r="F2345" t="s">
        <v>137</v>
      </c>
    </row>
    <row r="2346" spans="1:6" x14ac:dyDescent="0.2">
      <c r="A2346">
        <v>39383132</v>
      </c>
      <c r="B2346">
        <v>2018</v>
      </c>
      <c r="C2346">
        <v>13.0171190763047</v>
      </c>
      <c r="D2346" t="s">
        <v>140</v>
      </c>
      <c r="E2346" t="s">
        <v>141</v>
      </c>
      <c r="F2346" t="s">
        <v>137</v>
      </c>
    </row>
    <row r="2347" spans="1:6" x14ac:dyDescent="0.2">
      <c r="A2347">
        <v>39383132</v>
      </c>
      <c r="B2347">
        <v>2017</v>
      </c>
      <c r="C2347">
        <v>17.436088145237498</v>
      </c>
      <c r="D2347" t="s">
        <v>140</v>
      </c>
      <c r="E2347" t="s">
        <v>141</v>
      </c>
      <c r="F2347" t="s">
        <v>137</v>
      </c>
    </row>
    <row r="2348" spans="1:6" x14ac:dyDescent="0.2">
      <c r="A2348">
        <v>39383132</v>
      </c>
      <c r="B2348">
        <v>2016</v>
      </c>
      <c r="C2348">
        <v>18.696777752658502</v>
      </c>
      <c r="D2348" t="s">
        <v>140</v>
      </c>
      <c r="E2348" t="s">
        <v>141</v>
      </c>
      <c r="F2348" t="s">
        <v>137</v>
      </c>
    </row>
    <row r="2349" spans="1:6" x14ac:dyDescent="0.2">
      <c r="A2349">
        <v>39383132</v>
      </c>
      <c r="B2349">
        <v>2015</v>
      </c>
      <c r="C2349">
        <v>19.2269110127937</v>
      </c>
      <c r="D2349" t="s">
        <v>140</v>
      </c>
      <c r="E2349" t="s">
        <v>141</v>
      </c>
      <c r="F2349" t="s">
        <v>137</v>
      </c>
    </row>
    <row r="2350" spans="1:6" x14ac:dyDescent="0.2">
      <c r="A2350">
        <v>39383132</v>
      </c>
      <c r="B2350">
        <v>2014</v>
      </c>
      <c r="C2350">
        <v>25.256408621653001</v>
      </c>
      <c r="D2350" t="s">
        <v>140</v>
      </c>
      <c r="E2350" t="s">
        <v>141</v>
      </c>
      <c r="F2350" t="s">
        <v>137</v>
      </c>
    </row>
    <row r="2351" spans="1:6" x14ac:dyDescent="0.2">
      <c r="A2351">
        <v>39383132</v>
      </c>
      <c r="B2351">
        <v>2013</v>
      </c>
      <c r="C2351">
        <v>25.349700256922599</v>
      </c>
      <c r="D2351" t="s">
        <v>140</v>
      </c>
      <c r="E2351" t="s">
        <v>141</v>
      </c>
      <c r="F2351" t="s">
        <v>137</v>
      </c>
    </row>
    <row r="2352" spans="1:6" x14ac:dyDescent="0.2">
      <c r="A2352">
        <v>39383132</v>
      </c>
      <c r="B2352">
        <v>2012</v>
      </c>
      <c r="C2352">
        <v>20.759929970456302</v>
      </c>
      <c r="D2352" t="s">
        <v>140</v>
      </c>
      <c r="E2352" t="s">
        <v>141</v>
      </c>
      <c r="F2352" t="s">
        <v>137</v>
      </c>
    </row>
    <row r="2353" spans="1:6" x14ac:dyDescent="0.2">
      <c r="A2353">
        <v>39383132</v>
      </c>
      <c r="B2353">
        <v>2011</v>
      </c>
      <c r="C2353">
        <v>19.857512233096099</v>
      </c>
      <c r="D2353" t="s">
        <v>140</v>
      </c>
      <c r="E2353" t="s">
        <v>141</v>
      </c>
      <c r="F2353" t="s">
        <v>137</v>
      </c>
    </row>
    <row r="2354" spans="1:6" x14ac:dyDescent="0.2">
      <c r="A2354">
        <v>39383132</v>
      </c>
      <c r="B2354">
        <v>2010</v>
      </c>
      <c r="C2354">
        <v>20.1305004314064</v>
      </c>
      <c r="D2354" t="s">
        <v>140</v>
      </c>
      <c r="E2354" t="s">
        <v>141</v>
      </c>
      <c r="F2354" t="s">
        <v>137</v>
      </c>
    </row>
    <row r="2355" spans="1:6" x14ac:dyDescent="0.2">
      <c r="A2355">
        <v>92346346</v>
      </c>
      <c r="B2355">
        <v>2020</v>
      </c>
      <c r="C2355">
        <v>40.360373711410404</v>
      </c>
      <c r="D2355" t="s">
        <v>217</v>
      </c>
      <c r="E2355" t="s">
        <v>218</v>
      </c>
      <c r="F2355" t="s">
        <v>7</v>
      </c>
    </row>
    <row r="2356" spans="1:6" x14ac:dyDescent="0.2">
      <c r="A2356">
        <v>92346346</v>
      </c>
      <c r="B2356">
        <v>2019</v>
      </c>
      <c r="C2356">
        <v>38.226528830431199</v>
      </c>
      <c r="D2356" t="s">
        <v>217</v>
      </c>
      <c r="E2356" t="s">
        <v>218</v>
      </c>
      <c r="F2356" t="s">
        <v>7</v>
      </c>
    </row>
    <row r="2357" spans="1:6" x14ac:dyDescent="0.2">
      <c r="A2357">
        <v>92346346</v>
      </c>
      <c r="B2357">
        <v>2018</v>
      </c>
      <c r="C2357">
        <v>36.676064797050401</v>
      </c>
      <c r="D2357" t="s">
        <v>217</v>
      </c>
      <c r="E2357" t="s">
        <v>218</v>
      </c>
      <c r="F2357" t="s">
        <v>7</v>
      </c>
    </row>
    <row r="2358" spans="1:6" x14ac:dyDescent="0.2">
      <c r="A2358">
        <v>92346346</v>
      </c>
      <c r="B2358">
        <v>2017</v>
      </c>
      <c r="C2358">
        <v>30.2521165205894</v>
      </c>
      <c r="D2358" t="s">
        <v>217</v>
      </c>
      <c r="E2358" t="s">
        <v>218</v>
      </c>
      <c r="F2358" t="s">
        <v>7</v>
      </c>
    </row>
    <row r="2359" spans="1:6" x14ac:dyDescent="0.2">
      <c r="A2359">
        <v>92346346</v>
      </c>
      <c r="B2359">
        <v>2016</v>
      </c>
      <c r="C2359">
        <v>27.6456978523047</v>
      </c>
      <c r="D2359" t="s">
        <v>217</v>
      </c>
      <c r="E2359" t="s">
        <v>218</v>
      </c>
      <c r="F2359" t="s">
        <v>7</v>
      </c>
    </row>
    <row r="2360" spans="1:6" x14ac:dyDescent="0.2">
      <c r="A2360">
        <v>92346346</v>
      </c>
      <c r="B2360">
        <v>2015</v>
      </c>
      <c r="C2360">
        <v>24.642547578669699</v>
      </c>
      <c r="D2360" t="s">
        <v>217</v>
      </c>
      <c r="E2360" t="s">
        <v>218</v>
      </c>
      <c r="F2360" t="s">
        <v>7</v>
      </c>
    </row>
    <row r="2361" spans="1:6" x14ac:dyDescent="0.2">
      <c r="A2361">
        <v>92346346</v>
      </c>
      <c r="B2361">
        <v>2014</v>
      </c>
      <c r="C2361">
        <v>31.448156211729501</v>
      </c>
      <c r="D2361" t="s">
        <v>217</v>
      </c>
      <c r="E2361" t="s">
        <v>218</v>
      </c>
      <c r="F2361" t="s">
        <v>7</v>
      </c>
    </row>
    <row r="2362" spans="1:6" x14ac:dyDescent="0.2">
      <c r="A2362">
        <v>92346346</v>
      </c>
      <c r="B2362">
        <v>2013</v>
      </c>
      <c r="C2362">
        <v>30.519480519480499</v>
      </c>
      <c r="D2362" t="s">
        <v>217</v>
      </c>
      <c r="E2362" t="s">
        <v>218</v>
      </c>
      <c r="F2362" t="s">
        <v>7</v>
      </c>
    </row>
    <row r="2363" spans="1:6" x14ac:dyDescent="0.2">
      <c r="A2363">
        <v>92346346</v>
      </c>
      <c r="B2363">
        <v>2012</v>
      </c>
      <c r="C2363">
        <v>33.827160493827201</v>
      </c>
      <c r="D2363" t="s">
        <v>217</v>
      </c>
      <c r="E2363" t="s">
        <v>218</v>
      </c>
      <c r="F2363" t="s">
        <v>7</v>
      </c>
    </row>
    <row r="2364" spans="1:6" x14ac:dyDescent="0.2">
      <c r="A2364">
        <v>92346346</v>
      </c>
      <c r="B2364">
        <v>2011</v>
      </c>
      <c r="C2364">
        <v>27.1702898550725</v>
      </c>
      <c r="D2364" t="s">
        <v>217</v>
      </c>
      <c r="E2364" t="s">
        <v>218</v>
      </c>
      <c r="F2364" t="s">
        <v>7</v>
      </c>
    </row>
    <row r="2365" spans="1:6" x14ac:dyDescent="0.2">
      <c r="A2365">
        <v>19516661</v>
      </c>
      <c r="B2365">
        <v>2020</v>
      </c>
      <c r="C2365">
        <v>81.8059345713298</v>
      </c>
      <c r="D2365" t="s">
        <v>406</v>
      </c>
      <c r="E2365" t="s">
        <v>407</v>
      </c>
      <c r="F2365" t="s">
        <v>408</v>
      </c>
    </row>
    <row r="2366" spans="1:6" x14ac:dyDescent="0.2">
      <c r="A2366">
        <v>19516661</v>
      </c>
      <c r="B2366">
        <v>2019</v>
      </c>
      <c r="C2366">
        <v>74.654915878979395</v>
      </c>
      <c r="D2366" t="s">
        <v>406</v>
      </c>
      <c r="E2366" t="s">
        <v>407</v>
      </c>
      <c r="F2366" t="s">
        <v>408</v>
      </c>
    </row>
    <row r="2367" spans="1:6" x14ac:dyDescent="0.2">
      <c r="A2367">
        <v>19516661</v>
      </c>
      <c r="B2367">
        <v>2018</v>
      </c>
      <c r="C2367">
        <v>73.017412671308804</v>
      </c>
      <c r="D2367" t="s">
        <v>406</v>
      </c>
      <c r="E2367" t="s">
        <v>407</v>
      </c>
      <c r="F2367" t="s">
        <v>408</v>
      </c>
    </row>
    <row r="2368" spans="1:6" x14ac:dyDescent="0.2">
      <c r="A2368">
        <v>19516661</v>
      </c>
      <c r="B2368">
        <v>2017</v>
      </c>
      <c r="C2368">
        <v>60.787115209767499</v>
      </c>
      <c r="D2368" t="s">
        <v>406</v>
      </c>
      <c r="E2368" t="s">
        <v>407</v>
      </c>
      <c r="F2368" t="s">
        <v>408</v>
      </c>
    </row>
    <row r="2369" spans="1:6" x14ac:dyDescent="0.2">
      <c r="A2369">
        <v>19516661</v>
      </c>
      <c r="B2369">
        <v>2016</v>
      </c>
      <c r="C2369">
        <v>60.176351709888998</v>
      </c>
      <c r="D2369" t="s">
        <v>406</v>
      </c>
      <c r="E2369" t="s">
        <v>407</v>
      </c>
      <c r="F2369" t="s">
        <v>408</v>
      </c>
    </row>
    <row r="2370" spans="1:6" x14ac:dyDescent="0.2">
      <c r="A2370">
        <v>19516661</v>
      </c>
      <c r="B2370">
        <v>2015</v>
      </c>
      <c r="C2370">
        <v>59.740259740259702</v>
      </c>
      <c r="D2370" t="s">
        <v>406</v>
      </c>
      <c r="E2370" t="s">
        <v>407</v>
      </c>
      <c r="F2370" t="s">
        <v>408</v>
      </c>
    </row>
    <row r="2371" spans="1:6" x14ac:dyDescent="0.2">
      <c r="A2371">
        <v>19516661</v>
      </c>
      <c r="B2371">
        <v>2014</v>
      </c>
      <c r="C2371">
        <v>64.192949907235601</v>
      </c>
      <c r="D2371" t="s">
        <v>406</v>
      </c>
      <c r="E2371" t="s">
        <v>407</v>
      </c>
      <c r="F2371" t="s">
        <v>408</v>
      </c>
    </row>
    <row r="2372" spans="1:6" x14ac:dyDescent="0.2">
      <c r="A2372">
        <v>19516661</v>
      </c>
      <c r="B2372">
        <v>2013</v>
      </c>
      <c r="C2372">
        <v>63.596491228070199</v>
      </c>
      <c r="D2372" t="s">
        <v>406</v>
      </c>
      <c r="E2372" t="s">
        <v>407</v>
      </c>
      <c r="F2372" t="s">
        <v>408</v>
      </c>
    </row>
    <row r="2373" spans="1:6" x14ac:dyDescent="0.2">
      <c r="A2373">
        <v>19516661</v>
      </c>
      <c r="B2373">
        <v>2012</v>
      </c>
      <c r="C2373">
        <v>83.3333333333333</v>
      </c>
      <c r="D2373" t="s">
        <v>406</v>
      </c>
      <c r="E2373" t="s">
        <v>407</v>
      </c>
      <c r="F2373" t="s">
        <v>408</v>
      </c>
    </row>
    <row r="2374" spans="1:6" x14ac:dyDescent="0.2">
      <c r="A2374">
        <v>19516661</v>
      </c>
      <c r="B2374">
        <v>2011</v>
      </c>
      <c r="C2374">
        <v>52</v>
      </c>
      <c r="D2374" t="s">
        <v>406</v>
      </c>
      <c r="E2374" t="s">
        <v>407</v>
      </c>
      <c r="F2374" t="s">
        <v>408</v>
      </c>
    </row>
    <row r="2375" spans="1:6" x14ac:dyDescent="0.2">
      <c r="A2375">
        <v>70154930</v>
      </c>
      <c r="B2375">
        <v>2020</v>
      </c>
      <c r="C2375">
        <v>4.3715305394379396</v>
      </c>
      <c r="D2375" t="s">
        <v>753</v>
      </c>
      <c r="E2375" t="s">
        <v>754</v>
      </c>
      <c r="F2375" t="s">
        <v>268</v>
      </c>
    </row>
    <row r="2376" spans="1:6" x14ac:dyDescent="0.2">
      <c r="A2376">
        <v>70154930</v>
      </c>
      <c r="B2376">
        <v>2019</v>
      </c>
      <c r="C2376">
        <v>4.04070390711329</v>
      </c>
      <c r="D2376" t="s">
        <v>753</v>
      </c>
      <c r="E2376" t="s">
        <v>754</v>
      </c>
      <c r="F2376" t="s">
        <v>268</v>
      </c>
    </row>
    <row r="2377" spans="1:6" x14ac:dyDescent="0.2">
      <c r="A2377">
        <v>70154930</v>
      </c>
      <c r="B2377">
        <v>2018</v>
      </c>
      <c r="C2377">
        <v>3.6624970958890799</v>
      </c>
      <c r="D2377" t="s">
        <v>753</v>
      </c>
      <c r="E2377" t="s">
        <v>754</v>
      </c>
      <c r="F2377" t="s">
        <v>268</v>
      </c>
    </row>
    <row r="2378" spans="1:6" x14ac:dyDescent="0.2">
      <c r="A2378">
        <v>44796387</v>
      </c>
      <c r="B2378">
        <v>2018</v>
      </c>
      <c r="C2378">
        <v>18.885460426038101</v>
      </c>
      <c r="D2378" t="s">
        <v>530</v>
      </c>
      <c r="E2378" t="s">
        <v>531</v>
      </c>
      <c r="F2378" t="s">
        <v>137</v>
      </c>
    </row>
    <row r="2379" spans="1:6" x14ac:dyDescent="0.2">
      <c r="A2379">
        <v>44796387</v>
      </c>
      <c r="B2379">
        <v>2017</v>
      </c>
      <c r="C2379">
        <v>14.5992203395095</v>
      </c>
      <c r="D2379" t="s">
        <v>530</v>
      </c>
      <c r="E2379" t="s">
        <v>531</v>
      </c>
      <c r="F2379" t="s">
        <v>137</v>
      </c>
    </row>
    <row r="2380" spans="1:6" x14ac:dyDescent="0.2">
      <c r="A2380">
        <v>65581100</v>
      </c>
      <c r="B2380">
        <v>2019</v>
      </c>
      <c r="C2380">
        <v>40.868159778342203</v>
      </c>
      <c r="D2380" t="s">
        <v>550</v>
      </c>
      <c r="E2380" t="s">
        <v>551</v>
      </c>
      <c r="F2380" t="s">
        <v>185</v>
      </c>
    </row>
    <row r="2381" spans="1:6" x14ac:dyDescent="0.2">
      <c r="A2381">
        <v>17981172</v>
      </c>
      <c r="B2381">
        <v>2019</v>
      </c>
      <c r="C2381">
        <v>13.6534860224233</v>
      </c>
      <c r="D2381" t="s">
        <v>193</v>
      </c>
      <c r="E2381" t="s">
        <v>141</v>
      </c>
      <c r="F2381" t="s">
        <v>137</v>
      </c>
    </row>
    <row r="2382" spans="1:6" x14ac:dyDescent="0.2">
      <c r="A2382">
        <v>29903397</v>
      </c>
      <c r="B2382">
        <v>2020</v>
      </c>
      <c r="C2382">
        <v>59.877595845543397</v>
      </c>
      <c r="D2382" t="s">
        <v>412</v>
      </c>
      <c r="E2382"/>
      <c r="F2382" t="s">
        <v>413</v>
      </c>
    </row>
    <row r="2383" spans="1:6" x14ac:dyDescent="0.2">
      <c r="A2383">
        <v>29903397</v>
      </c>
      <c r="B2383">
        <v>2019</v>
      </c>
      <c r="C2383">
        <v>58.168274986162302</v>
      </c>
      <c r="D2383" t="s">
        <v>412</v>
      </c>
      <c r="E2383"/>
      <c r="F2383" t="s">
        <v>413</v>
      </c>
    </row>
    <row r="2384" spans="1:6" x14ac:dyDescent="0.2">
      <c r="A2384">
        <v>29903397</v>
      </c>
      <c r="B2384">
        <v>2018</v>
      </c>
      <c r="C2384">
        <v>65.744184781487306</v>
      </c>
      <c r="D2384" t="s">
        <v>412</v>
      </c>
      <c r="E2384"/>
      <c r="F2384" t="s">
        <v>413</v>
      </c>
    </row>
    <row r="2385" spans="1:6" x14ac:dyDescent="0.2">
      <c r="A2385">
        <v>29903397</v>
      </c>
      <c r="B2385">
        <v>2017</v>
      </c>
      <c r="C2385">
        <v>50.145251014553999</v>
      </c>
      <c r="D2385" t="s">
        <v>412</v>
      </c>
      <c r="E2385"/>
      <c r="F2385" t="s">
        <v>413</v>
      </c>
    </row>
    <row r="2386" spans="1:6" x14ac:dyDescent="0.2">
      <c r="A2386">
        <v>29903397</v>
      </c>
      <c r="B2386">
        <v>2016</v>
      </c>
      <c r="C2386">
        <v>41.927891719433703</v>
      </c>
      <c r="D2386" t="s">
        <v>412</v>
      </c>
      <c r="E2386"/>
      <c r="F2386" t="s">
        <v>413</v>
      </c>
    </row>
    <row r="2387" spans="1:6" x14ac:dyDescent="0.2">
      <c r="A2387">
        <v>29903397</v>
      </c>
      <c r="B2387">
        <v>2015</v>
      </c>
      <c r="C2387">
        <v>44.3367004746082</v>
      </c>
      <c r="D2387" t="s">
        <v>412</v>
      </c>
      <c r="E2387"/>
      <c r="F2387" t="s">
        <v>413</v>
      </c>
    </row>
    <row r="2388" spans="1:6" x14ac:dyDescent="0.2">
      <c r="A2388">
        <v>29903397</v>
      </c>
      <c r="B2388">
        <v>2014</v>
      </c>
      <c r="C2388">
        <v>55.840455840455803</v>
      </c>
      <c r="D2388" t="s">
        <v>412</v>
      </c>
      <c r="E2388"/>
      <c r="F2388" t="s">
        <v>413</v>
      </c>
    </row>
    <row r="2389" spans="1:6" x14ac:dyDescent="0.2">
      <c r="A2389">
        <v>29903397</v>
      </c>
      <c r="B2389">
        <v>2013</v>
      </c>
      <c r="C2389">
        <v>43.8544033807758</v>
      </c>
      <c r="D2389" t="s">
        <v>412</v>
      </c>
      <c r="E2389"/>
      <c r="F2389" t="s">
        <v>413</v>
      </c>
    </row>
    <row r="2390" spans="1:6" x14ac:dyDescent="0.2">
      <c r="A2390">
        <v>29903397</v>
      </c>
      <c r="B2390">
        <v>2012</v>
      </c>
      <c r="C2390">
        <v>45.692689264202201</v>
      </c>
      <c r="D2390" t="s">
        <v>412</v>
      </c>
      <c r="E2390"/>
      <c r="F2390" t="s">
        <v>413</v>
      </c>
    </row>
    <row r="2391" spans="1:6" x14ac:dyDescent="0.2">
      <c r="A2391">
        <v>60902720</v>
      </c>
      <c r="B2391">
        <v>2019</v>
      </c>
      <c r="C2391">
        <v>65.674308854448995</v>
      </c>
      <c r="D2391" t="s">
        <v>566</v>
      </c>
      <c r="E2391" t="s">
        <v>298</v>
      </c>
      <c r="F2391" t="s">
        <v>33</v>
      </c>
    </row>
    <row r="2392" spans="1:6" x14ac:dyDescent="0.2">
      <c r="A2392">
        <v>60902720</v>
      </c>
      <c r="B2392">
        <v>2018</v>
      </c>
      <c r="C2392">
        <v>66.882388092259603</v>
      </c>
      <c r="D2392" t="s">
        <v>566</v>
      </c>
      <c r="E2392" t="s">
        <v>298</v>
      </c>
      <c r="F2392" t="s">
        <v>33</v>
      </c>
    </row>
    <row r="2393" spans="1:6" x14ac:dyDescent="0.2">
      <c r="A2393">
        <v>60902720</v>
      </c>
      <c r="B2393">
        <v>2017</v>
      </c>
      <c r="C2393">
        <v>50.019191036560997</v>
      </c>
      <c r="D2393" t="s">
        <v>566</v>
      </c>
      <c r="E2393" t="s">
        <v>298</v>
      </c>
      <c r="F2393" t="s">
        <v>33</v>
      </c>
    </row>
    <row r="2394" spans="1:6" x14ac:dyDescent="0.2">
      <c r="A2394">
        <v>60902720</v>
      </c>
      <c r="B2394">
        <v>2014</v>
      </c>
      <c r="C2394">
        <v>41.459369817578803</v>
      </c>
      <c r="D2394" t="s">
        <v>566</v>
      </c>
      <c r="E2394" t="s">
        <v>298</v>
      </c>
      <c r="F2394" t="s">
        <v>33</v>
      </c>
    </row>
    <row r="2395" spans="1:6" x14ac:dyDescent="0.2">
      <c r="A2395">
        <v>79410691</v>
      </c>
      <c r="B2395">
        <v>2019</v>
      </c>
      <c r="C2395">
        <v>9.7753834122604992</v>
      </c>
      <c r="D2395" t="s">
        <v>584</v>
      </c>
      <c r="E2395" t="s">
        <v>585</v>
      </c>
      <c r="F2395" t="s">
        <v>119</v>
      </c>
    </row>
    <row r="2396" spans="1:6" x14ac:dyDescent="0.2">
      <c r="A2396">
        <v>79410691</v>
      </c>
      <c r="B2396">
        <v>2018</v>
      </c>
      <c r="C2396">
        <v>10.2869433750526</v>
      </c>
      <c r="D2396" t="s">
        <v>584</v>
      </c>
      <c r="E2396" t="s">
        <v>585</v>
      </c>
      <c r="F2396" t="s">
        <v>119</v>
      </c>
    </row>
    <row r="2397" spans="1:6" x14ac:dyDescent="0.2">
      <c r="A2397">
        <v>34732268</v>
      </c>
      <c r="B2397">
        <v>2018</v>
      </c>
      <c r="C2397">
        <v>34.255907197633199</v>
      </c>
      <c r="D2397" t="s">
        <v>555</v>
      </c>
      <c r="E2397"/>
      <c r="F2397" t="s">
        <v>28</v>
      </c>
    </row>
    <row r="2398" spans="1:6" x14ac:dyDescent="0.2">
      <c r="A2398">
        <v>34732268</v>
      </c>
      <c r="B2398">
        <v>2015</v>
      </c>
      <c r="C2398">
        <v>26.4437158469945</v>
      </c>
      <c r="D2398" t="s">
        <v>555</v>
      </c>
      <c r="E2398"/>
      <c r="F2398" t="s">
        <v>28</v>
      </c>
    </row>
    <row r="2399" spans="1:6" x14ac:dyDescent="0.2">
      <c r="A2399">
        <v>48950881</v>
      </c>
      <c r="B2399">
        <v>2020</v>
      </c>
      <c r="C2399">
        <v>32.009387935967901</v>
      </c>
      <c r="D2399" t="s">
        <v>311</v>
      </c>
      <c r="E2399" t="s">
        <v>312</v>
      </c>
      <c r="F2399" t="s">
        <v>49</v>
      </c>
    </row>
    <row r="2400" spans="1:6" x14ac:dyDescent="0.2">
      <c r="A2400">
        <v>48950881</v>
      </c>
      <c r="B2400">
        <v>2019</v>
      </c>
      <c r="C2400">
        <v>34.561627377674299</v>
      </c>
      <c r="D2400" t="s">
        <v>311</v>
      </c>
      <c r="E2400" t="s">
        <v>312</v>
      </c>
      <c r="F2400" t="s">
        <v>49</v>
      </c>
    </row>
    <row r="2401" spans="1:6" x14ac:dyDescent="0.2">
      <c r="A2401">
        <v>48950881</v>
      </c>
      <c r="B2401">
        <v>2018</v>
      </c>
      <c r="C2401">
        <v>30.681685475566098</v>
      </c>
      <c r="D2401" t="s">
        <v>311</v>
      </c>
      <c r="E2401" t="s">
        <v>312</v>
      </c>
      <c r="F2401" t="s">
        <v>49</v>
      </c>
    </row>
    <row r="2402" spans="1:6" x14ac:dyDescent="0.2">
      <c r="A2402">
        <v>48950881</v>
      </c>
      <c r="B2402">
        <v>2017</v>
      </c>
      <c r="C2402">
        <v>33.363188535602298</v>
      </c>
      <c r="D2402" t="s">
        <v>311</v>
      </c>
      <c r="E2402" t="s">
        <v>312</v>
      </c>
      <c r="F2402" t="s">
        <v>49</v>
      </c>
    </row>
    <row r="2403" spans="1:6" x14ac:dyDescent="0.2">
      <c r="A2403">
        <v>48950881</v>
      </c>
      <c r="B2403">
        <v>2016</v>
      </c>
      <c r="C2403">
        <v>26.7907821546146</v>
      </c>
      <c r="D2403" t="s">
        <v>311</v>
      </c>
      <c r="E2403" t="s">
        <v>312</v>
      </c>
      <c r="F2403" t="s">
        <v>49</v>
      </c>
    </row>
    <row r="2404" spans="1:6" x14ac:dyDescent="0.2">
      <c r="A2404">
        <v>95333208</v>
      </c>
      <c r="B2404">
        <v>2015</v>
      </c>
      <c r="C2404">
        <v>53</v>
      </c>
      <c r="D2404" t="s">
        <v>311</v>
      </c>
      <c r="E2404" t="s">
        <v>494</v>
      </c>
      <c r="F2404" t="s">
        <v>1126</v>
      </c>
    </row>
    <row r="2405" spans="1:6" x14ac:dyDescent="0.2">
      <c r="A2405">
        <v>48950881</v>
      </c>
      <c r="B2405">
        <v>2012</v>
      </c>
      <c r="C2405">
        <v>39.094650205761297</v>
      </c>
      <c r="D2405" t="s">
        <v>311</v>
      </c>
      <c r="E2405" t="s">
        <v>312</v>
      </c>
      <c r="F2405" t="s">
        <v>49</v>
      </c>
    </row>
    <row r="2406" spans="1:6" x14ac:dyDescent="0.2">
      <c r="A2406">
        <v>51713174</v>
      </c>
      <c r="B2406">
        <v>2020</v>
      </c>
      <c r="C2406">
        <v>71.995833333333294</v>
      </c>
      <c r="D2406" t="s">
        <v>609</v>
      </c>
      <c r="E2406" t="s">
        <v>579</v>
      </c>
      <c r="F2406" t="s">
        <v>1126</v>
      </c>
    </row>
    <row r="2407" spans="1:6" x14ac:dyDescent="0.2">
      <c r="A2407">
        <v>51713174</v>
      </c>
      <c r="B2407">
        <v>2019</v>
      </c>
      <c r="C2407">
        <v>67.855714285714299</v>
      </c>
      <c r="D2407" t="s">
        <v>609</v>
      </c>
      <c r="E2407" t="s">
        <v>579</v>
      </c>
      <c r="F2407" t="s">
        <v>1126</v>
      </c>
    </row>
    <row r="2408" spans="1:6" x14ac:dyDescent="0.2">
      <c r="A2408">
        <v>51713174</v>
      </c>
      <c r="B2408">
        <v>2018</v>
      </c>
      <c r="C2408">
        <v>68.625263157894693</v>
      </c>
      <c r="D2408" t="s">
        <v>609</v>
      </c>
      <c r="E2408" t="s">
        <v>579</v>
      </c>
      <c r="F2408" t="s">
        <v>1126</v>
      </c>
    </row>
    <row r="2409" spans="1:6" x14ac:dyDescent="0.2">
      <c r="A2409">
        <v>51713174</v>
      </c>
      <c r="B2409">
        <v>2017</v>
      </c>
      <c r="C2409">
        <v>55.949523809523797</v>
      </c>
      <c r="D2409" t="s">
        <v>609</v>
      </c>
      <c r="E2409" t="s">
        <v>579</v>
      </c>
      <c r="F2409" t="s">
        <v>1126</v>
      </c>
    </row>
    <row r="2410" spans="1:6" x14ac:dyDescent="0.2">
      <c r="A2410">
        <v>51713174</v>
      </c>
      <c r="B2410">
        <v>2016</v>
      </c>
      <c r="C2410">
        <v>56.9166666666667</v>
      </c>
      <c r="D2410" t="s">
        <v>609</v>
      </c>
      <c r="E2410" t="s">
        <v>579</v>
      </c>
      <c r="F2410" t="s">
        <v>1126</v>
      </c>
    </row>
    <row r="2411" spans="1:6" x14ac:dyDescent="0.2">
      <c r="A2411">
        <v>51713174</v>
      </c>
      <c r="B2411">
        <v>2015</v>
      </c>
      <c r="C2411">
        <v>53.132666666666701</v>
      </c>
      <c r="D2411" t="s">
        <v>609</v>
      </c>
      <c r="E2411" t="s">
        <v>579</v>
      </c>
      <c r="F2411" t="s">
        <v>1126</v>
      </c>
    </row>
    <row r="2412" spans="1:6" x14ac:dyDescent="0.2">
      <c r="A2412">
        <v>51713174</v>
      </c>
      <c r="B2412">
        <v>2014</v>
      </c>
      <c r="C2412">
        <v>49.998333333333299</v>
      </c>
      <c r="D2412" t="s">
        <v>609</v>
      </c>
      <c r="E2412" t="s">
        <v>579</v>
      </c>
      <c r="F2412" t="s">
        <v>1126</v>
      </c>
    </row>
    <row r="2413" spans="1:6" x14ac:dyDescent="0.2">
      <c r="A2413">
        <v>51713174</v>
      </c>
      <c r="B2413">
        <v>2013</v>
      </c>
      <c r="C2413">
        <v>45.6</v>
      </c>
      <c r="D2413" t="s">
        <v>609</v>
      </c>
      <c r="E2413" t="s">
        <v>579</v>
      </c>
      <c r="F2413" t="s">
        <v>1126</v>
      </c>
    </row>
    <row r="2414" spans="1:6" x14ac:dyDescent="0.2">
      <c r="A2414">
        <v>51713174</v>
      </c>
      <c r="B2414">
        <v>2012</v>
      </c>
      <c r="C2414">
        <v>45</v>
      </c>
      <c r="D2414" t="s">
        <v>609</v>
      </c>
      <c r="E2414" t="s">
        <v>579</v>
      </c>
      <c r="F2414" t="s">
        <v>1126</v>
      </c>
    </row>
    <row r="2415" spans="1:6" x14ac:dyDescent="0.2">
      <c r="A2415">
        <v>81278360</v>
      </c>
      <c r="B2415">
        <v>2020</v>
      </c>
      <c r="C2415">
        <v>51.247500000000002</v>
      </c>
      <c r="D2415" t="s">
        <v>309</v>
      </c>
      <c r="E2415"/>
      <c r="F2415" t="s">
        <v>310</v>
      </c>
    </row>
    <row r="2416" spans="1:6" x14ac:dyDescent="0.2">
      <c r="A2416">
        <v>81278360</v>
      </c>
      <c r="B2416">
        <v>2019</v>
      </c>
      <c r="C2416">
        <v>71.3125</v>
      </c>
      <c r="D2416" t="s">
        <v>309</v>
      </c>
      <c r="E2416"/>
      <c r="F2416" t="s">
        <v>310</v>
      </c>
    </row>
    <row r="2417" spans="1:6" x14ac:dyDescent="0.2">
      <c r="A2417">
        <v>81278360</v>
      </c>
      <c r="B2417">
        <v>2018</v>
      </c>
      <c r="C2417">
        <v>69.285714285714306</v>
      </c>
      <c r="D2417" t="s">
        <v>309</v>
      </c>
      <c r="E2417"/>
      <c r="F2417" t="s">
        <v>310</v>
      </c>
    </row>
    <row r="2418" spans="1:6" x14ac:dyDescent="0.2">
      <c r="A2418">
        <v>81278360</v>
      </c>
      <c r="B2418">
        <v>2016</v>
      </c>
      <c r="C2418">
        <v>38.799999999999997</v>
      </c>
      <c r="D2418" t="s">
        <v>309</v>
      </c>
      <c r="E2418"/>
      <c r="F2418" t="s">
        <v>310</v>
      </c>
    </row>
    <row r="2419" spans="1:6" x14ac:dyDescent="0.2">
      <c r="A2419">
        <v>81278360</v>
      </c>
      <c r="B2419">
        <v>2015</v>
      </c>
      <c r="C2419">
        <v>37.5</v>
      </c>
      <c r="D2419" t="s">
        <v>309</v>
      </c>
      <c r="E2419"/>
      <c r="F2419" t="s">
        <v>310</v>
      </c>
    </row>
    <row r="2420" spans="1:6" x14ac:dyDescent="0.2">
      <c r="A2420">
        <v>44415879</v>
      </c>
      <c r="B2420">
        <v>2020</v>
      </c>
      <c r="C2420">
        <v>14.955647158894401</v>
      </c>
      <c r="D2420" t="s">
        <v>923</v>
      </c>
      <c r="E2420" t="s">
        <v>924</v>
      </c>
      <c r="F2420" t="s">
        <v>35</v>
      </c>
    </row>
    <row r="2421" spans="1:6" x14ac:dyDescent="0.2">
      <c r="A2421">
        <v>44415879</v>
      </c>
      <c r="B2421">
        <v>2019</v>
      </c>
      <c r="C2421">
        <v>26.755682397309101</v>
      </c>
      <c r="D2421" t="s">
        <v>923</v>
      </c>
      <c r="E2421" t="s">
        <v>924</v>
      </c>
      <c r="F2421" t="s">
        <v>35</v>
      </c>
    </row>
    <row r="2422" spans="1:6" x14ac:dyDescent="0.2">
      <c r="A2422">
        <v>44415879</v>
      </c>
      <c r="B2422">
        <v>2018</v>
      </c>
      <c r="C2422">
        <v>32.079401741538497</v>
      </c>
      <c r="D2422" t="s">
        <v>923</v>
      </c>
      <c r="E2422" t="s">
        <v>924</v>
      </c>
      <c r="F2422" t="s">
        <v>35</v>
      </c>
    </row>
    <row r="2423" spans="1:6" x14ac:dyDescent="0.2">
      <c r="A2423">
        <v>44415879</v>
      </c>
      <c r="B2423">
        <v>2017</v>
      </c>
      <c r="C2423">
        <v>26.245126446895298</v>
      </c>
      <c r="D2423" t="s">
        <v>923</v>
      </c>
      <c r="E2423" t="s">
        <v>924</v>
      </c>
      <c r="F2423" t="s">
        <v>35</v>
      </c>
    </row>
    <row r="2424" spans="1:6" x14ac:dyDescent="0.2">
      <c r="A2424">
        <v>44415879</v>
      </c>
      <c r="B2424">
        <v>2016</v>
      </c>
      <c r="C2424">
        <v>27.378310614138702</v>
      </c>
      <c r="D2424" t="s">
        <v>923</v>
      </c>
      <c r="E2424" t="s">
        <v>924</v>
      </c>
      <c r="F2424" t="s">
        <v>35</v>
      </c>
    </row>
    <row r="2425" spans="1:6" x14ac:dyDescent="0.2">
      <c r="A2425">
        <v>44415879</v>
      </c>
      <c r="B2425">
        <v>2014</v>
      </c>
      <c r="C2425">
        <v>46.108309907337201</v>
      </c>
      <c r="D2425" t="s">
        <v>923</v>
      </c>
      <c r="E2425" t="s">
        <v>924</v>
      </c>
      <c r="F2425" t="s">
        <v>35</v>
      </c>
    </row>
    <row r="2426" spans="1:6" x14ac:dyDescent="0.2">
      <c r="A2426">
        <v>24431948</v>
      </c>
      <c r="B2426">
        <v>2020</v>
      </c>
      <c r="C2426">
        <v>14.6094158395743</v>
      </c>
      <c r="D2426" t="s">
        <v>858</v>
      </c>
      <c r="E2426" t="s">
        <v>141</v>
      </c>
      <c r="F2426" t="s">
        <v>137</v>
      </c>
    </row>
    <row r="2427" spans="1:6" x14ac:dyDescent="0.2">
      <c r="A2427">
        <v>24431948</v>
      </c>
      <c r="B2427">
        <v>2019</v>
      </c>
      <c r="C2427">
        <v>8.27832415675352</v>
      </c>
      <c r="D2427" t="s">
        <v>858</v>
      </c>
      <c r="E2427" t="s">
        <v>141</v>
      </c>
      <c r="F2427" t="s">
        <v>137</v>
      </c>
    </row>
    <row r="2428" spans="1:6" x14ac:dyDescent="0.2">
      <c r="A2428">
        <v>24431948</v>
      </c>
      <c r="B2428">
        <v>2018</v>
      </c>
      <c r="C2428">
        <v>10.706717721848401</v>
      </c>
      <c r="D2428" t="s">
        <v>858</v>
      </c>
      <c r="E2428" t="s">
        <v>141</v>
      </c>
      <c r="F2428" t="s">
        <v>137</v>
      </c>
    </row>
    <row r="2429" spans="1:6" x14ac:dyDescent="0.2">
      <c r="A2429">
        <v>24431948</v>
      </c>
      <c r="B2429">
        <v>2017</v>
      </c>
      <c r="C2429">
        <v>15.3757746128877</v>
      </c>
      <c r="D2429" t="s">
        <v>858</v>
      </c>
      <c r="E2429" t="s">
        <v>141</v>
      </c>
      <c r="F2429" t="s">
        <v>137</v>
      </c>
    </row>
    <row r="2430" spans="1:6" x14ac:dyDescent="0.2">
      <c r="A2430">
        <v>24431948</v>
      </c>
      <c r="B2430">
        <v>2016</v>
      </c>
      <c r="C2430">
        <v>15.320150774279</v>
      </c>
      <c r="D2430" t="s">
        <v>858</v>
      </c>
      <c r="E2430" t="s">
        <v>141</v>
      </c>
      <c r="F2430" t="s">
        <v>137</v>
      </c>
    </row>
    <row r="2431" spans="1:6" x14ac:dyDescent="0.2">
      <c r="A2431">
        <v>24431948</v>
      </c>
      <c r="B2431">
        <v>2015</v>
      </c>
      <c r="C2431">
        <v>22.009118063197601</v>
      </c>
      <c r="D2431" t="s">
        <v>858</v>
      </c>
      <c r="E2431" t="s">
        <v>141</v>
      </c>
      <c r="F2431" t="s">
        <v>137</v>
      </c>
    </row>
    <row r="2432" spans="1:6" x14ac:dyDescent="0.2">
      <c r="A2432">
        <v>24431948</v>
      </c>
      <c r="B2432">
        <v>2014</v>
      </c>
      <c r="C2432">
        <v>21.405472027272801</v>
      </c>
      <c r="D2432" t="s">
        <v>858</v>
      </c>
      <c r="E2432" t="s">
        <v>141</v>
      </c>
      <c r="F2432" t="s">
        <v>137</v>
      </c>
    </row>
    <row r="2433" spans="1:6" x14ac:dyDescent="0.2">
      <c r="A2433">
        <v>24431948</v>
      </c>
      <c r="B2433">
        <v>2013</v>
      </c>
      <c r="C2433">
        <v>19.469026548672598</v>
      </c>
      <c r="D2433" t="s">
        <v>858</v>
      </c>
      <c r="E2433" t="s">
        <v>141</v>
      </c>
      <c r="F2433" t="s">
        <v>137</v>
      </c>
    </row>
    <row r="2434" spans="1:6" x14ac:dyDescent="0.2">
      <c r="A2434">
        <v>79142036</v>
      </c>
      <c r="B2434">
        <v>2016</v>
      </c>
      <c r="C2434">
        <v>50.8333333333333</v>
      </c>
      <c r="D2434" t="s">
        <v>812</v>
      </c>
      <c r="E2434" t="s">
        <v>667</v>
      </c>
      <c r="F2434" t="s">
        <v>1126</v>
      </c>
    </row>
    <row r="2435" spans="1:6" x14ac:dyDescent="0.2">
      <c r="A2435">
        <v>52884379</v>
      </c>
      <c r="B2435">
        <v>2020</v>
      </c>
      <c r="C2435">
        <v>73.658333333333303</v>
      </c>
      <c r="D2435" t="s">
        <v>674</v>
      </c>
      <c r="E2435" t="s">
        <v>650</v>
      </c>
      <c r="F2435" t="s">
        <v>1126</v>
      </c>
    </row>
    <row r="2436" spans="1:6" x14ac:dyDescent="0.2">
      <c r="A2436">
        <v>52884379</v>
      </c>
      <c r="B2436">
        <v>2019</v>
      </c>
      <c r="C2436">
        <v>68.728333333333296</v>
      </c>
      <c r="D2436" t="s">
        <v>674</v>
      </c>
      <c r="E2436" t="s">
        <v>650</v>
      </c>
      <c r="F2436" t="s">
        <v>1126</v>
      </c>
    </row>
    <row r="2437" spans="1:6" x14ac:dyDescent="0.2">
      <c r="A2437">
        <v>52884379</v>
      </c>
      <c r="B2437">
        <v>2018</v>
      </c>
      <c r="C2437">
        <v>74.021818181818205</v>
      </c>
      <c r="D2437" t="s">
        <v>674</v>
      </c>
      <c r="E2437" t="s">
        <v>650</v>
      </c>
      <c r="F2437" t="s">
        <v>1126</v>
      </c>
    </row>
    <row r="2438" spans="1:6" x14ac:dyDescent="0.2">
      <c r="A2438">
        <v>52884379</v>
      </c>
      <c r="B2438">
        <v>2017</v>
      </c>
      <c r="C2438">
        <v>58.571428571428598</v>
      </c>
      <c r="D2438" t="s">
        <v>674</v>
      </c>
      <c r="E2438" t="s">
        <v>650</v>
      </c>
      <c r="F2438" t="s">
        <v>1126</v>
      </c>
    </row>
    <row r="2439" spans="1:6" x14ac:dyDescent="0.2">
      <c r="A2439">
        <v>52884379</v>
      </c>
      <c r="B2439">
        <v>2016</v>
      </c>
      <c r="C2439">
        <v>67.357142857142904</v>
      </c>
      <c r="D2439" t="s">
        <v>674</v>
      </c>
      <c r="E2439" t="s">
        <v>650</v>
      </c>
      <c r="F2439" t="s">
        <v>1126</v>
      </c>
    </row>
    <row r="2440" spans="1:6" x14ac:dyDescent="0.2">
      <c r="A2440">
        <v>52884379</v>
      </c>
      <c r="B2440">
        <v>2015</v>
      </c>
      <c r="C2440">
        <v>55.60125</v>
      </c>
      <c r="D2440" t="s">
        <v>674</v>
      </c>
      <c r="E2440" t="s">
        <v>650</v>
      </c>
      <c r="F2440" t="s">
        <v>1126</v>
      </c>
    </row>
    <row r="2441" spans="1:6" x14ac:dyDescent="0.2">
      <c r="A2441">
        <v>52884379</v>
      </c>
      <c r="B2441">
        <v>2013</v>
      </c>
      <c r="C2441">
        <v>39.6666666666667</v>
      </c>
      <c r="D2441" t="s">
        <v>674</v>
      </c>
      <c r="E2441" t="s">
        <v>650</v>
      </c>
      <c r="F2441" t="s">
        <v>1126</v>
      </c>
    </row>
    <row r="2442" spans="1:6" x14ac:dyDescent="0.2">
      <c r="A2442">
        <v>74837110</v>
      </c>
      <c r="B2442">
        <v>2020</v>
      </c>
      <c r="C2442">
        <v>56.8195062821977</v>
      </c>
      <c r="D2442" t="s">
        <v>1094</v>
      </c>
      <c r="E2442" t="s">
        <v>298</v>
      </c>
      <c r="F2442" t="s">
        <v>33</v>
      </c>
    </row>
    <row r="2443" spans="1:6" x14ac:dyDescent="0.2">
      <c r="A2443">
        <v>74837110</v>
      </c>
      <c r="B2443">
        <v>2019</v>
      </c>
      <c r="C2443">
        <v>57.2802452629237</v>
      </c>
      <c r="D2443" t="s">
        <v>1094</v>
      </c>
      <c r="E2443" t="s">
        <v>298</v>
      </c>
      <c r="F2443" t="s">
        <v>33</v>
      </c>
    </row>
    <row r="2444" spans="1:6" x14ac:dyDescent="0.2">
      <c r="A2444">
        <v>74837110</v>
      </c>
      <c r="B2444">
        <v>2018</v>
      </c>
      <c r="C2444">
        <v>64.052748596048602</v>
      </c>
      <c r="D2444" t="s">
        <v>1094</v>
      </c>
      <c r="E2444" t="s">
        <v>298</v>
      </c>
      <c r="F2444" t="s">
        <v>33</v>
      </c>
    </row>
    <row r="2445" spans="1:6" x14ac:dyDescent="0.2">
      <c r="A2445">
        <v>57420412</v>
      </c>
      <c r="B2445">
        <v>2020</v>
      </c>
      <c r="C2445">
        <v>66.441395348837204</v>
      </c>
      <c r="D2445" t="s">
        <v>0</v>
      </c>
      <c r="E2445" t="s">
        <v>1</v>
      </c>
      <c r="F2445" t="s">
        <v>1126</v>
      </c>
    </row>
    <row r="2446" spans="1:6" x14ac:dyDescent="0.2">
      <c r="A2446">
        <v>57420412</v>
      </c>
      <c r="B2446">
        <v>2019</v>
      </c>
      <c r="C2446">
        <v>61.734578313253003</v>
      </c>
      <c r="D2446" t="s">
        <v>0</v>
      </c>
      <c r="E2446" t="s">
        <v>1</v>
      </c>
      <c r="F2446" t="s">
        <v>1126</v>
      </c>
    </row>
    <row r="2447" spans="1:6" x14ac:dyDescent="0.2">
      <c r="A2447">
        <v>57420412</v>
      </c>
      <c r="B2447">
        <v>2018</v>
      </c>
      <c r="C2447">
        <v>61.458125000000003</v>
      </c>
      <c r="D2447" t="s">
        <v>0</v>
      </c>
      <c r="E2447" t="s">
        <v>1</v>
      </c>
      <c r="F2447" t="s">
        <v>1126</v>
      </c>
    </row>
    <row r="2448" spans="1:6" x14ac:dyDescent="0.2">
      <c r="A2448">
        <v>57420412</v>
      </c>
      <c r="B2448">
        <v>2017</v>
      </c>
      <c r="C2448">
        <v>59.236400000000003</v>
      </c>
      <c r="D2448" t="s">
        <v>0</v>
      </c>
      <c r="E2448" t="s">
        <v>1</v>
      </c>
      <c r="F2448" t="s">
        <v>1126</v>
      </c>
    </row>
    <row r="2449" spans="1:6" x14ac:dyDescent="0.2">
      <c r="A2449">
        <v>57420412</v>
      </c>
      <c r="B2449">
        <v>2016</v>
      </c>
      <c r="C2449">
        <v>54.592666666666702</v>
      </c>
      <c r="D2449" t="s">
        <v>0</v>
      </c>
      <c r="E2449" t="s">
        <v>1</v>
      </c>
      <c r="F2449" t="s">
        <v>1126</v>
      </c>
    </row>
    <row r="2450" spans="1:6" x14ac:dyDescent="0.2">
      <c r="A2450">
        <v>57420412</v>
      </c>
      <c r="B2450">
        <v>2015</v>
      </c>
      <c r="C2450">
        <v>53.458399999999997</v>
      </c>
      <c r="D2450" t="s">
        <v>0</v>
      </c>
      <c r="E2450" t="s">
        <v>1</v>
      </c>
      <c r="F2450" t="s">
        <v>1126</v>
      </c>
    </row>
    <row r="2451" spans="1:6" x14ac:dyDescent="0.2">
      <c r="A2451">
        <v>57420412</v>
      </c>
      <c r="B2451">
        <v>2014</v>
      </c>
      <c r="C2451">
        <v>50.284999999999997</v>
      </c>
      <c r="D2451" t="s">
        <v>0</v>
      </c>
      <c r="E2451" t="s">
        <v>1</v>
      </c>
      <c r="F2451" t="s">
        <v>1126</v>
      </c>
    </row>
    <row r="2452" spans="1:6" x14ac:dyDescent="0.2">
      <c r="A2452">
        <v>57420412</v>
      </c>
      <c r="B2452">
        <v>2013</v>
      </c>
      <c r="C2452">
        <v>55.932000000000002</v>
      </c>
      <c r="D2452" t="s">
        <v>0</v>
      </c>
      <c r="E2452" t="s">
        <v>1</v>
      </c>
      <c r="F2452" t="s">
        <v>1126</v>
      </c>
    </row>
    <row r="2453" spans="1:6" x14ac:dyDescent="0.2">
      <c r="A2453">
        <v>57420412</v>
      </c>
      <c r="B2453">
        <v>2012</v>
      </c>
      <c r="C2453">
        <v>42.25</v>
      </c>
      <c r="D2453" t="s">
        <v>0</v>
      </c>
      <c r="E2453" t="s">
        <v>1</v>
      </c>
      <c r="F2453" t="s">
        <v>1126</v>
      </c>
    </row>
    <row r="2454" spans="1:6" x14ac:dyDescent="0.2">
      <c r="A2454">
        <v>57420412</v>
      </c>
      <c r="B2454">
        <v>2011</v>
      </c>
      <c r="C2454">
        <v>49.998333333333299</v>
      </c>
      <c r="D2454" t="s">
        <v>0</v>
      </c>
      <c r="E2454" t="s">
        <v>1</v>
      </c>
      <c r="F2454" t="s">
        <v>1126</v>
      </c>
    </row>
    <row r="2455" spans="1:6" x14ac:dyDescent="0.2">
      <c r="A2455">
        <v>57420412</v>
      </c>
      <c r="B2455">
        <v>2010</v>
      </c>
      <c r="C2455">
        <v>42.99</v>
      </c>
      <c r="D2455" t="s">
        <v>0</v>
      </c>
      <c r="E2455" t="s">
        <v>1</v>
      </c>
      <c r="F2455" t="s">
        <v>1126</v>
      </c>
    </row>
    <row r="2456" spans="1:6" x14ac:dyDescent="0.2">
      <c r="A2456">
        <v>59491730</v>
      </c>
      <c r="B2456">
        <v>2019</v>
      </c>
      <c r="C2456">
        <v>57.098229781325898</v>
      </c>
      <c r="D2456" t="s">
        <v>854</v>
      </c>
      <c r="E2456" t="s">
        <v>855</v>
      </c>
      <c r="F2456" t="s">
        <v>348</v>
      </c>
    </row>
    <row r="2457" spans="1:6" x14ac:dyDescent="0.2">
      <c r="A2457">
        <v>59491730</v>
      </c>
      <c r="B2457">
        <v>2018</v>
      </c>
      <c r="C2457">
        <v>68.399749688431498</v>
      </c>
      <c r="D2457" t="s">
        <v>854</v>
      </c>
      <c r="E2457" t="s">
        <v>855</v>
      </c>
      <c r="F2457" t="s">
        <v>348</v>
      </c>
    </row>
    <row r="2458" spans="1:6" x14ac:dyDescent="0.2">
      <c r="A2458">
        <v>59491730</v>
      </c>
      <c r="B2458">
        <v>2017</v>
      </c>
      <c r="C2458">
        <v>49.764737225931299</v>
      </c>
      <c r="D2458" t="s">
        <v>854</v>
      </c>
      <c r="E2458" t="s">
        <v>855</v>
      </c>
      <c r="F2458" t="s">
        <v>348</v>
      </c>
    </row>
    <row r="2459" spans="1:6" x14ac:dyDescent="0.2">
      <c r="A2459">
        <v>59491730</v>
      </c>
      <c r="B2459">
        <v>2015</v>
      </c>
      <c r="C2459">
        <v>56.2628336755647</v>
      </c>
      <c r="D2459" t="s">
        <v>854</v>
      </c>
      <c r="E2459" t="s">
        <v>855</v>
      </c>
      <c r="F2459" t="s">
        <v>348</v>
      </c>
    </row>
    <row r="2460" spans="1:6" x14ac:dyDescent="0.2">
      <c r="A2460">
        <v>44062878</v>
      </c>
      <c r="B2460">
        <v>2019</v>
      </c>
      <c r="C2460">
        <v>33.492524916943502</v>
      </c>
      <c r="D2460" t="s">
        <v>1102</v>
      </c>
      <c r="E2460" t="s">
        <v>18</v>
      </c>
      <c r="F2460" t="s">
        <v>19</v>
      </c>
    </row>
    <row r="2461" spans="1:6" x14ac:dyDescent="0.2">
      <c r="A2461">
        <v>44062878</v>
      </c>
      <c r="B2461">
        <v>2018</v>
      </c>
      <c r="C2461">
        <v>39.787429029173502</v>
      </c>
      <c r="D2461" t="s">
        <v>1102</v>
      </c>
      <c r="E2461" t="s">
        <v>18</v>
      </c>
      <c r="F2461" t="s">
        <v>19</v>
      </c>
    </row>
    <row r="2462" spans="1:6" x14ac:dyDescent="0.2">
      <c r="A2462">
        <v>44062878</v>
      </c>
      <c r="B2462">
        <v>2016</v>
      </c>
      <c r="C2462">
        <v>32.464696462367201</v>
      </c>
      <c r="D2462" t="s">
        <v>1102</v>
      </c>
      <c r="E2462" t="s">
        <v>18</v>
      </c>
      <c r="F2462" t="s">
        <v>19</v>
      </c>
    </row>
    <row r="2463" spans="1:6" x14ac:dyDescent="0.2">
      <c r="A2463">
        <v>44062878</v>
      </c>
      <c r="B2463">
        <v>2015</v>
      </c>
      <c r="C2463">
        <v>36.327709378324997</v>
      </c>
      <c r="D2463" t="s">
        <v>1102</v>
      </c>
      <c r="E2463" t="s">
        <v>18</v>
      </c>
      <c r="F2463" t="s">
        <v>19</v>
      </c>
    </row>
    <row r="2464" spans="1:6" x14ac:dyDescent="0.2">
      <c r="A2464">
        <v>44062878</v>
      </c>
      <c r="B2464">
        <v>2014</v>
      </c>
      <c r="C2464">
        <v>33.495226930162502</v>
      </c>
      <c r="D2464" t="s">
        <v>1102</v>
      </c>
      <c r="E2464" t="s">
        <v>18</v>
      </c>
      <c r="F2464" t="s">
        <v>19</v>
      </c>
    </row>
    <row r="2465" spans="1:6" x14ac:dyDescent="0.2">
      <c r="A2465">
        <v>44062878</v>
      </c>
      <c r="B2465">
        <v>2013</v>
      </c>
      <c r="C2465">
        <v>31.818181818181799</v>
      </c>
      <c r="D2465" t="s">
        <v>1102</v>
      </c>
      <c r="E2465" t="s">
        <v>18</v>
      </c>
      <c r="F2465" t="s">
        <v>19</v>
      </c>
    </row>
    <row r="2466" spans="1:6" x14ac:dyDescent="0.2">
      <c r="A2466">
        <v>63008060</v>
      </c>
      <c r="B2466">
        <v>2020</v>
      </c>
      <c r="C2466">
        <v>34.143347131699002</v>
      </c>
      <c r="D2466" t="s">
        <v>668</v>
      </c>
      <c r="E2466"/>
      <c r="F2466" t="s">
        <v>28</v>
      </c>
    </row>
    <row r="2467" spans="1:6" x14ac:dyDescent="0.2">
      <c r="A2467">
        <v>63008060</v>
      </c>
      <c r="B2467">
        <v>2019</v>
      </c>
      <c r="C2467">
        <v>30.7819740759811</v>
      </c>
      <c r="D2467" t="s">
        <v>668</v>
      </c>
      <c r="E2467"/>
      <c r="F2467" t="s">
        <v>28</v>
      </c>
    </row>
    <row r="2468" spans="1:6" x14ac:dyDescent="0.2">
      <c r="A2468">
        <v>63008060</v>
      </c>
      <c r="B2468">
        <v>2018</v>
      </c>
      <c r="C2468">
        <v>28.1443419362373</v>
      </c>
      <c r="D2468" t="s">
        <v>668</v>
      </c>
      <c r="E2468"/>
      <c r="F2468" t="s">
        <v>28</v>
      </c>
    </row>
    <row r="2469" spans="1:6" x14ac:dyDescent="0.2">
      <c r="A2469">
        <v>63008060</v>
      </c>
      <c r="B2469">
        <v>2016</v>
      </c>
      <c r="C2469">
        <v>28.3638486612717</v>
      </c>
      <c r="D2469" t="s">
        <v>668</v>
      </c>
      <c r="E2469"/>
      <c r="F2469" t="s">
        <v>28</v>
      </c>
    </row>
    <row r="2470" spans="1:6" x14ac:dyDescent="0.2">
      <c r="A2470">
        <v>63008060</v>
      </c>
      <c r="B2470">
        <v>2015</v>
      </c>
      <c r="C2470">
        <v>35.215543412264701</v>
      </c>
      <c r="D2470" t="s">
        <v>668</v>
      </c>
      <c r="E2470"/>
      <c r="F2470" t="s">
        <v>28</v>
      </c>
    </row>
    <row r="2471" spans="1:6" x14ac:dyDescent="0.2">
      <c r="A2471">
        <v>63008060</v>
      </c>
      <c r="B2471">
        <v>2014</v>
      </c>
      <c r="C2471">
        <v>36.7369710164648</v>
      </c>
      <c r="D2471" t="s">
        <v>668</v>
      </c>
      <c r="E2471"/>
      <c r="F2471" t="s">
        <v>28</v>
      </c>
    </row>
    <row r="2472" spans="1:6" x14ac:dyDescent="0.2">
      <c r="A2472">
        <v>72292464</v>
      </c>
      <c r="B2472">
        <v>2020</v>
      </c>
      <c r="C2472">
        <v>16.5226832837653</v>
      </c>
      <c r="D2472" t="s">
        <v>913</v>
      </c>
      <c r="E2472" t="s">
        <v>914</v>
      </c>
      <c r="F2472" t="s">
        <v>396</v>
      </c>
    </row>
    <row r="2473" spans="1:6" x14ac:dyDescent="0.2">
      <c r="A2473">
        <v>72292464</v>
      </c>
      <c r="B2473">
        <v>2019</v>
      </c>
      <c r="C2473">
        <v>18.104648019127598</v>
      </c>
      <c r="D2473" t="s">
        <v>913</v>
      </c>
      <c r="E2473" t="s">
        <v>914</v>
      </c>
      <c r="F2473" t="s">
        <v>396</v>
      </c>
    </row>
    <row r="2474" spans="1:6" x14ac:dyDescent="0.2">
      <c r="A2474">
        <v>72292464</v>
      </c>
      <c r="B2474">
        <v>2018</v>
      </c>
      <c r="C2474">
        <v>22.120312921499899</v>
      </c>
      <c r="D2474" t="s">
        <v>913</v>
      </c>
      <c r="E2474" t="s">
        <v>914</v>
      </c>
      <c r="F2474" t="s">
        <v>396</v>
      </c>
    </row>
    <row r="2475" spans="1:6" x14ac:dyDescent="0.2">
      <c r="A2475">
        <v>72292464</v>
      </c>
      <c r="B2475">
        <v>2017</v>
      </c>
      <c r="C2475">
        <v>13.0285714285714</v>
      </c>
      <c r="D2475" t="s">
        <v>913</v>
      </c>
      <c r="E2475" t="s">
        <v>914</v>
      </c>
      <c r="F2475" t="s">
        <v>396</v>
      </c>
    </row>
    <row r="2476" spans="1:6" x14ac:dyDescent="0.2">
      <c r="A2476">
        <v>72292464</v>
      </c>
      <c r="B2476">
        <v>2016</v>
      </c>
      <c r="C2476">
        <v>12.776831345826199</v>
      </c>
      <c r="D2476" t="s">
        <v>913</v>
      </c>
      <c r="E2476" t="s">
        <v>914</v>
      </c>
      <c r="F2476" t="s">
        <v>396</v>
      </c>
    </row>
    <row r="2477" spans="1:6" x14ac:dyDescent="0.2">
      <c r="A2477">
        <v>26889246</v>
      </c>
      <c r="B2477">
        <v>2018</v>
      </c>
      <c r="C2477">
        <v>32.765751732287697</v>
      </c>
      <c r="D2477" t="s">
        <v>999</v>
      </c>
      <c r="E2477" t="s">
        <v>499</v>
      </c>
      <c r="F2477" t="s">
        <v>35</v>
      </c>
    </row>
    <row r="2478" spans="1:6" x14ac:dyDescent="0.2">
      <c r="A2478">
        <v>72381388</v>
      </c>
      <c r="B2478">
        <v>2020</v>
      </c>
      <c r="C2478">
        <v>11.243922551445801</v>
      </c>
      <c r="D2478" t="s">
        <v>1052</v>
      </c>
      <c r="E2478" t="s">
        <v>801</v>
      </c>
      <c r="F2478" t="s">
        <v>137</v>
      </c>
    </row>
    <row r="2479" spans="1:6" x14ac:dyDescent="0.2">
      <c r="A2479">
        <v>72381388</v>
      </c>
      <c r="B2479">
        <v>2019</v>
      </c>
      <c r="C2479">
        <v>13.1498640160699</v>
      </c>
      <c r="D2479" t="s">
        <v>1052</v>
      </c>
      <c r="E2479" t="s">
        <v>801</v>
      </c>
      <c r="F2479" t="s">
        <v>137</v>
      </c>
    </row>
    <row r="2480" spans="1:6" x14ac:dyDescent="0.2">
      <c r="A2480">
        <v>72381388</v>
      </c>
      <c r="B2480">
        <v>2018</v>
      </c>
      <c r="C2480">
        <v>14.2572542604908</v>
      </c>
      <c r="D2480" t="s">
        <v>1052</v>
      </c>
      <c r="E2480" t="s">
        <v>801</v>
      </c>
      <c r="F2480" t="s">
        <v>137</v>
      </c>
    </row>
    <row r="2481" spans="1:6" x14ac:dyDescent="0.2">
      <c r="A2481">
        <v>72381388</v>
      </c>
      <c r="B2481">
        <v>2017</v>
      </c>
      <c r="C2481">
        <v>17.988879742805199</v>
      </c>
      <c r="D2481" t="s">
        <v>1052</v>
      </c>
      <c r="E2481" t="s">
        <v>801</v>
      </c>
      <c r="F2481" t="s">
        <v>137</v>
      </c>
    </row>
    <row r="2482" spans="1:6" x14ac:dyDescent="0.2">
      <c r="A2482">
        <v>72381388</v>
      </c>
      <c r="B2482">
        <v>2016</v>
      </c>
      <c r="C2482">
        <v>24.370345264054599</v>
      </c>
      <c r="D2482" t="s">
        <v>1052</v>
      </c>
      <c r="E2482" t="s">
        <v>801</v>
      </c>
      <c r="F2482" t="s">
        <v>137</v>
      </c>
    </row>
    <row r="2483" spans="1:6" x14ac:dyDescent="0.2">
      <c r="A2483">
        <v>72381388</v>
      </c>
      <c r="B2483">
        <v>2015</v>
      </c>
      <c r="C2483">
        <v>22.009118063197601</v>
      </c>
      <c r="D2483" t="s">
        <v>1052</v>
      </c>
      <c r="E2483" t="s">
        <v>801</v>
      </c>
      <c r="F2483" t="s">
        <v>137</v>
      </c>
    </row>
    <row r="2484" spans="1:6" x14ac:dyDescent="0.2">
      <c r="A2484">
        <v>72381388</v>
      </c>
      <c r="B2484">
        <v>2014</v>
      </c>
      <c r="C2484">
        <v>25.348585295454701</v>
      </c>
      <c r="D2484" t="s">
        <v>1052</v>
      </c>
      <c r="E2484" t="s">
        <v>801</v>
      </c>
      <c r="F2484" t="s">
        <v>137</v>
      </c>
    </row>
    <row r="2485" spans="1:6" x14ac:dyDescent="0.2">
      <c r="A2485">
        <v>72381388</v>
      </c>
      <c r="B2485">
        <v>2013</v>
      </c>
      <c r="C2485">
        <v>26.7256637168142</v>
      </c>
      <c r="D2485" t="s">
        <v>1052</v>
      </c>
      <c r="E2485" t="s">
        <v>801</v>
      </c>
      <c r="F2485" t="s">
        <v>137</v>
      </c>
    </row>
    <row r="2486" spans="1:6" x14ac:dyDescent="0.2">
      <c r="A2486">
        <v>72381388</v>
      </c>
      <c r="B2486">
        <v>2012</v>
      </c>
      <c r="C2486">
        <v>20.151730678046501</v>
      </c>
      <c r="D2486" t="s">
        <v>1052</v>
      </c>
      <c r="E2486" t="s">
        <v>801</v>
      </c>
      <c r="F2486" t="s">
        <v>137</v>
      </c>
    </row>
    <row r="2487" spans="1:6" x14ac:dyDescent="0.2">
      <c r="A2487">
        <v>50174757</v>
      </c>
      <c r="B2487">
        <v>2018</v>
      </c>
      <c r="C2487">
        <v>57.878989695224703</v>
      </c>
      <c r="D2487" t="s">
        <v>1098</v>
      </c>
      <c r="E2487" t="s">
        <v>298</v>
      </c>
      <c r="F2487" t="s">
        <v>33</v>
      </c>
    </row>
    <row r="2488" spans="1:6" x14ac:dyDescent="0.2">
      <c r="A2488">
        <v>78084116</v>
      </c>
      <c r="B2488">
        <v>2018</v>
      </c>
      <c r="C2488">
        <v>37.577016305330503</v>
      </c>
      <c r="D2488" t="s">
        <v>1014</v>
      </c>
      <c r="E2488" t="s">
        <v>18</v>
      </c>
      <c r="F2488" t="s">
        <v>19</v>
      </c>
    </row>
    <row r="2489" spans="1:6" x14ac:dyDescent="0.2">
      <c r="A2489">
        <v>78084116</v>
      </c>
      <c r="B2489">
        <v>2016</v>
      </c>
      <c r="C2489">
        <v>23.9918474304848</v>
      </c>
      <c r="D2489" t="s">
        <v>1014</v>
      </c>
      <c r="E2489" t="s">
        <v>18</v>
      </c>
      <c r="F2489" t="s">
        <v>19</v>
      </c>
    </row>
    <row r="2490" spans="1:6" x14ac:dyDescent="0.2">
      <c r="A2490">
        <v>16772793</v>
      </c>
      <c r="B2490">
        <v>2020</v>
      </c>
      <c r="C2490">
        <v>34.671187129064698</v>
      </c>
      <c r="D2490" t="s">
        <v>917</v>
      </c>
      <c r="E2490" t="s">
        <v>18</v>
      </c>
      <c r="F2490" t="s">
        <v>19</v>
      </c>
    </row>
    <row r="2491" spans="1:6" x14ac:dyDescent="0.2">
      <c r="A2491">
        <v>16772793</v>
      </c>
      <c r="B2491">
        <v>2016</v>
      </c>
      <c r="C2491">
        <v>31.903167439635599</v>
      </c>
      <c r="D2491" t="s">
        <v>917</v>
      </c>
      <c r="E2491" t="s">
        <v>18</v>
      </c>
      <c r="F2491" t="s">
        <v>19</v>
      </c>
    </row>
    <row r="2492" spans="1:6" x14ac:dyDescent="0.2">
      <c r="A2492">
        <v>16772793</v>
      </c>
      <c r="B2492">
        <v>2015</v>
      </c>
      <c r="C2492">
        <v>28.879768961848299</v>
      </c>
      <c r="D2492" t="s">
        <v>917</v>
      </c>
      <c r="E2492" t="s">
        <v>18</v>
      </c>
      <c r="F2492" t="s">
        <v>19</v>
      </c>
    </row>
    <row r="2493" spans="1:6" x14ac:dyDescent="0.2">
      <c r="A2493">
        <v>44042320</v>
      </c>
      <c r="B2493">
        <v>2020</v>
      </c>
      <c r="C2493">
        <v>35.279996664961999</v>
      </c>
      <c r="D2493" t="s">
        <v>750</v>
      </c>
      <c r="E2493" t="s">
        <v>18</v>
      </c>
      <c r="F2493" t="s">
        <v>19</v>
      </c>
    </row>
    <row r="2494" spans="1:6" x14ac:dyDescent="0.2">
      <c r="A2494">
        <v>44042320</v>
      </c>
      <c r="B2494">
        <v>2019</v>
      </c>
      <c r="C2494">
        <v>42.214357937310403</v>
      </c>
      <c r="D2494" t="s">
        <v>750</v>
      </c>
      <c r="E2494" t="s">
        <v>18</v>
      </c>
      <c r="F2494" t="s">
        <v>19</v>
      </c>
    </row>
    <row r="2495" spans="1:6" x14ac:dyDescent="0.2">
      <c r="A2495">
        <v>44042320</v>
      </c>
      <c r="B2495">
        <v>2018</v>
      </c>
      <c r="C2495">
        <v>34.482438491950298</v>
      </c>
      <c r="D2495" t="s">
        <v>750</v>
      </c>
      <c r="E2495" t="s">
        <v>18</v>
      </c>
      <c r="F2495" t="s">
        <v>19</v>
      </c>
    </row>
    <row r="2496" spans="1:6" x14ac:dyDescent="0.2">
      <c r="A2496">
        <v>44042320</v>
      </c>
      <c r="B2496">
        <v>2017</v>
      </c>
      <c r="C2496">
        <v>27.607883112470301</v>
      </c>
      <c r="D2496" t="s">
        <v>750</v>
      </c>
      <c r="E2496" t="s">
        <v>18</v>
      </c>
      <c r="F2496" t="s">
        <v>19</v>
      </c>
    </row>
    <row r="2497" spans="1:6" x14ac:dyDescent="0.2">
      <c r="A2497">
        <v>44042320</v>
      </c>
      <c r="B2497">
        <v>2016</v>
      </c>
      <c r="C2497">
        <v>26.9034794002038</v>
      </c>
      <c r="D2497" t="s">
        <v>750</v>
      </c>
      <c r="E2497" t="s">
        <v>18</v>
      </c>
      <c r="F2497" t="s">
        <v>19</v>
      </c>
    </row>
    <row r="2498" spans="1:6" x14ac:dyDescent="0.2">
      <c r="A2498">
        <v>44042320</v>
      </c>
      <c r="B2498">
        <v>2015</v>
      </c>
      <c r="C2498">
        <v>32.933069868774403</v>
      </c>
      <c r="D2498" t="s">
        <v>750</v>
      </c>
      <c r="E2498" t="s">
        <v>18</v>
      </c>
      <c r="F2498" t="s">
        <v>19</v>
      </c>
    </row>
    <row r="2499" spans="1:6" x14ac:dyDescent="0.2">
      <c r="A2499">
        <v>44042320</v>
      </c>
      <c r="B2499">
        <v>2013</v>
      </c>
      <c r="C2499">
        <v>25.252525252525199</v>
      </c>
      <c r="D2499" t="s">
        <v>750</v>
      </c>
      <c r="E2499" t="s">
        <v>18</v>
      </c>
      <c r="F2499" t="s">
        <v>19</v>
      </c>
    </row>
    <row r="2500" spans="1:6" x14ac:dyDescent="0.2">
      <c r="A2500">
        <v>44042320</v>
      </c>
      <c r="B2500">
        <v>2012</v>
      </c>
      <c r="C2500">
        <v>40.256410256410298</v>
      </c>
      <c r="D2500" t="s">
        <v>750</v>
      </c>
      <c r="E2500" t="s">
        <v>18</v>
      </c>
      <c r="F2500" t="s">
        <v>19</v>
      </c>
    </row>
    <row r="2501" spans="1:6" x14ac:dyDescent="0.2">
      <c r="A2501">
        <v>69520004</v>
      </c>
      <c r="B2501">
        <v>2020</v>
      </c>
      <c r="C2501">
        <v>23.310201576736102</v>
      </c>
      <c r="D2501" t="s">
        <v>851</v>
      </c>
      <c r="E2501"/>
      <c r="F2501" t="s">
        <v>396</v>
      </c>
    </row>
    <row r="2502" spans="1:6" x14ac:dyDescent="0.2">
      <c r="A2502">
        <v>69520004</v>
      </c>
      <c r="B2502">
        <v>2019</v>
      </c>
      <c r="C2502">
        <v>21.5586660008499</v>
      </c>
      <c r="D2502" t="s">
        <v>851</v>
      </c>
      <c r="E2502"/>
      <c r="F2502" t="s">
        <v>396</v>
      </c>
    </row>
    <row r="2503" spans="1:6" x14ac:dyDescent="0.2">
      <c r="A2503">
        <v>69520004</v>
      </c>
      <c r="B2503">
        <v>2018</v>
      </c>
      <c r="C2503">
        <v>23.611588581500602</v>
      </c>
      <c r="D2503" t="s">
        <v>851</v>
      </c>
      <c r="E2503"/>
      <c r="F2503" t="s">
        <v>396</v>
      </c>
    </row>
    <row r="2504" spans="1:6" x14ac:dyDescent="0.2">
      <c r="A2504">
        <v>69520004</v>
      </c>
      <c r="B2504">
        <v>2017</v>
      </c>
      <c r="C2504">
        <v>15.170109890109901</v>
      </c>
      <c r="D2504" t="s">
        <v>851</v>
      </c>
      <c r="E2504"/>
      <c r="F2504" t="s">
        <v>396</v>
      </c>
    </row>
    <row r="2505" spans="1:6" x14ac:dyDescent="0.2">
      <c r="A2505">
        <v>69520004</v>
      </c>
      <c r="B2505">
        <v>2016</v>
      </c>
      <c r="C2505">
        <v>13.3523642893319</v>
      </c>
      <c r="D2505" t="s">
        <v>851</v>
      </c>
      <c r="E2505"/>
      <c r="F2505" t="s">
        <v>396</v>
      </c>
    </row>
    <row r="2506" spans="1:6" x14ac:dyDescent="0.2">
      <c r="A2506">
        <v>69520004</v>
      </c>
      <c r="B2506">
        <v>2015</v>
      </c>
      <c r="C2506">
        <v>13.470345273947601</v>
      </c>
      <c r="D2506" t="s">
        <v>851</v>
      </c>
      <c r="E2506"/>
      <c r="F2506" t="s">
        <v>396</v>
      </c>
    </row>
    <row r="2507" spans="1:6" x14ac:dyDescent="0.2">
      <c r="A2507">
        <v>69520004</v>
      </c>
      <c r="B2507">
        <v>2014</v>
      </c>
      <c r="C2507">
        <v>18.472356895919301</v>
      </c>
      <c r="D2507" t="s">
        <v>851</v>
      </c>
      <c r="E2507"/>
      <c r="F2507" t="s">
        <v>396</v>
      </c>
    </row>
    <row r="2508" spans="1:6" x14ac:dyDescent="0.2">
      <c r="A2508">
        <v>69520004</v>
      </c>
      <c r="B2508">
        <v>2013</v>
      </c>
      <c r="C2508">
        <v>21.282745629952501</v>
      </c>
      <c r="D2508" t="s">
        <v>851</v>
      </c>
      <c r="E2508"/>
      <c r="F2508" t="s">
        <v>396</v>
      </c>
    </row>
    <row r="2509" spans="1:6" x14ac:dyDescent="0.2">
      <c r="A2509">
        <v>69520004</v>
      </c>
      <c r="B2509">
        <v>2012</v>
      </c>
      <c r="C2509">
        <v>21.063693478358498</v>
      </c>
      <c r="D2509" t="s">
        <v>851</v>
      </c>
      <c r="E2509"/>
      <c r="F2509" t="s">
        <v>396</v>
      </c>
    </row>
    <row r="2510" spans="1:6" x14ac:dyDescent="0.2">
      <c r="A2510">
        <v>69520004</v>
      </c>
      <c r="B2510">
        <v>2011</v>
      </c>
      <c r="C2510">
        <v>26.086956521739101</v>
      </c>
      <c r="D2510" t="s">
        <v>851</v>
      </c>
      <c r="E2510"/>
      <c r="F2510" t="s">
        <v>396</v>
      </c>
    </row>
    <row r="2511" spans="1:6" x14ac:dyDescent="0.2">
      <c r="A2511">
        <v>69168297</v>
      </c>
      <c r="B2511">
        <v>2020</v>
      </c>
      <c r="C2511">
        <v>7.7926804872706104</v>
      </c>
      <c r="D2511" t="s">
        <v>98</v>
      </c>
      <c r="E2511" t="s">
        <v>99</v>
      </c>
      <c r="F2511" t="s">
        <v>94</v>
      </c>
    </row>
    <row r="2512" spans="1:6" x14ac:dyDescent="0.2">
      <c r="A2512">
        <v>69168297</v>
      </c>
      <c r="B2512">
        <v>2019</v>
      </c>
      <c r="C2512">
        <v>8.3272016251439105</v>
      </c>
      <c r="D2512" t="s">
        <v>98</v>
      </c>
      <c r="E2512" t="s">
        <v>99</v>
      </c>
      <c r="F2512" t="s">
        <v>94</v>
      </c>
    </row>
    <row r="2513" spans="1:6" x14ac:dyDescent="0.2">
      <c r="A2513">
        <v>69168297</v>
      </c>
      <c r="B2513">
        <v>2018</v>
      </c>
      <c r="C2513">
        <v>8.7215630689188899</v>
      </c>
      <c r="D2513" t="s">
        <v>98</v>
      </c>
      <c r="E2513" t="s">
        <v>99</v>
      </c>
      <c r="F2513" t="s">
        <v>94</v>
      </c>
    </row>
    <row r="2514" spans="1:6" x14ac:dyDescent="0.2">
      <c r="A2514">
        <v>69168297</v>
      </c>
      <c r="B2514">
        <v>2017</v>
      </c>
      <c r="C2514">
        <v>8.2092370335101101</v>
      </c>
      <c r="D2514" t="s">
        <v>98</v>
      </c>
      <c r="E2514" t="s">
        <v>99</v>
      </c>
      <c r="F2514" t="s">
        <v>94</v>
      </c>
    </row>
    <row r="2515" spans="1:6" x14ac:dyDescent="0.2">
      <c r="A2515">
        <v>69168297</v>
      </c>
      <c r="B2515">
        <v>2016</v>
      </c>
      <c r="C2515">
        <v>5.5270612357193301</v>
      </c>
      <c r="D2515" t="s">
        <v>98</v>
      </c>
      <c r="E2515" t="s">
        <v>99</v>
      </c>
      <c r="F2515" t="s">
        <v>94</v>
      </c>
    </row>
    <row r="2516" spans="1:6" x14ac:dyDescent="0.2">
      <c r="A2516">
        <v>69168297</v>
      </c>
      <c r="B2516">
        <v>2015</v>
      </c>
      <c r="C2516">
        <v>6.3905690592916899</v>
      </c>
      <c r="D2516" t="s">
        <v>98</v>
      </c>
      <c r="E2516" t="s">
        <v>99</v>
      </c>
      <c r="F2516" t="s">
        <v>94</v>
      </c>
    </row>
    <row r="2517" spans="1:6" x14ac:dyDescent="0.2">
      <c r="A2517">
        <v>69168297</v>
      </c>
      <c r="B2517">
        <v>2014</v>
      </c>
      <c r="C2517">
        <v>10.7383703449165</v>
      </c>
      <c r="D2517" t="s">
        <v>98</v>
      </c>
      <c r="E2517" t="s">
        <v>99</v>
      </c>
      <c r="F2517" t="s">
        <v>94</v>
      </c>
    </row>
    <row r="2518" spans="1:6" x14ac:dyDescent="0.2">
      <c r="A2518">
        <v>58222761</v>
      </c>
      <c r="B2518">
        <v>2020</v>
      </c>
      <c r="C2518">
        <v>39.167344978913803</v>
      </c>
      <c r="D2518" t="s">
        <v>292</v>
      </c>
      <c r="E2518" t="s">
        <v>218</v>
      </c>
      <c r="F2518" t="s">
        <v>7</v>
      </c>
    </row>
    <row r="2519" spans="1:6" x14ac:dyDescent="0.2">
      <c r="A2519">
        <v>58222761</v>
      </c>
      <c r="B2519">
        <v>2019</v>
      </c>
      <c r="C2519">
        <v>33.720253419597498</v>
      </c>
      <c r="D2519" t="s">
        <v>292</v>
      </c>
      <c r="E2519" t="s">
        <v>218</v>
      </c>
      <c r="F2519" t="s">
        <v>7</v>
      </c>
    </row>
    <row r="2520" spans="1:6" x14ac:dyDescent="0.2">
      <c r="A2520">
        <v>58222761</v>
      </c>
      <c r="B2520">
        <v>2018</v>
      </c>
      <c r="C2520">
        <v>39.872541332310099</v>
      </c>
      <c r="D2520" t="s">
        <v>292</v>
      </c>
      <c r="E2520" t="s">
        <v>218</v>
      </c>
      <c r="F2520" t="s">
        <v>7</v>
      </c>
    </row>
    <row r="2521" spans="1:6" x14ac:dyDescent="0.2">
      <c r="A2521">
        <v>58222761</v>
      </c>
      <c r="B2521">
        <v>2017</v>
      </c>
      <c r="C2521">
        <v>35.5463502015226</v>
      </c>
      <c r="D2521" t="s">
        <v>292</v>
      </c>
      <c r="E2521" t="s">
        <v>218</v>
      </c>
      <c r="F2521" t="s">
        <v>7</v>
      </c>
    </row>
    <row r="2522" spans="1:6" x14ac:dyDescent="0.2">
      <c r="A2522">
        <v>58222761</v>
      </c>
      <c r="B2522">
        <v>2016</v>
      </c>
      <c r="C2522">
        <v>23.8379939708127</v>
      </c>
      <c r="D2522" t="s">
        <v>292</v>
      </c>
      <c r="E2522" t="s">
        <v>218</v>
      </c>
      <c r="F2522" t="s">
        <v>7</v>
      </c>
    </row>
    <row r="2523" spans="1:6" x14ac:dyDescent="0.2">
      <c r="A2523">
        <v>58222761</v>
      </c>
      <c r="B2523">
        <v>2015</v>
      </c>
      <c r="C2523">
        <v>27.319672131147499</v>
      </c>
      <c r="D2523" t="s">
        <v>292</v>
      </c>
      <c r="E2523" t="s">
        <v>218</v>
      </c>
      <c r="F2523" t="s">
        <v>7</v>
      </c>
    </row>
    <row r="2524" spans="1:6" x14ac:dyDescent="0.2">
      <c r="A2524">
        <v>58222761</v>
      </c>
      <c r="B2524">
        <v>2014</v>
      </c>
      <c r="C2524">
        <v>20.410940263981502</v>
      </c>
      <c r="D2524" t="s">
        <v>292</v>
      </c>
      <c r="E2524" t="s">
        <v>218</v>
      </c>
      <c r="F2524" t="s">
        <v>7</v>
      </c>
    </row>
    <row r="2525" spans="1:6" x14ac:dyDescent="0.2">
      <c r="A2525">
        <v>66226300</v>
      </c>
      <c r="B2525">
        <v>2020</v>
      </c>
      <c r="C2525">
        <v>65.818181818181799</v>
      </c>
      <c r="D2525" t="s">
        <v>587</v>
      </c>
      <c r="E2525" t="s">
        <v>5</v>
      </c>
      <c r="F2525" t="s">
        <v>1126</v>
      </c>
    </row>
    <row r="2526" spans="1:6" x14ac:dyDescent="0.2">
      <c r="A2526">
        <v>66226300</v>
      </c>
      <c r="B2526">
        <v>2019</v>
      </c>
      <c r="C2526">
        <v>64.5</v>
      </c>
      <c r="D2526" t="s">
        <v>587</v>
      </c>
      <c r="E2526" t="s">
        <v>5</v>
      </c>
      <c r="F2526" t="s">
        <v>1126</v>
      </c>
    </row>
    <row r="2527" spans="1:6" x14ac:dyDescent="0.2">
      <c r="A2527">
        <v>66226300</v>
      </c>
      <c r="B2527">
        <v>2018</v>
      </c>
      <c r="C2527">
        <v>72.294444444444395</v>
      </c>
      <c r="D2527" t="s">
        <v>587</v>
      </c>
      <c r="E2527" t="s">
        <v>5</v>
      </c>
      <c r="F2527" t="s">
        <v>1126</v>
      </c>
    </row>
    <row r="2528" spans="1:6" x14ac:dyDescent="0.2">
      <c r="A2528">
        <v>66226300</v>
      </c>
      <c r="B2528">
        <v>2017</v>
      </c>
      <c r="C2528">
        <v>62.642857142857103</v>
      </c>
      <c r="D2528" t="s">
        <v>587</v>
      </c>
      <c r="E2528" t="s">
        <v>5</v>
      </c>
      <c r="F2528" t="s">
        <v>1126</v>
      </c>
    </row>
    <row r="2529" spans="1:6" x14ac:dyDescent="0.2">
      <c r="A2529">
        <v>66226300</v>
      </c>
      <c r="B2529">
        <v>2016</v>
      </c>
      <c r="C2529">
        <v>55.845384615384603</v>
      </c>
      <c r="D2529" t="s">
        <v>587</v>
      </c>
      <c r="E2529" t="s">
        <v>5</v>
      </c>
      <c r="F2529" t="s">
        <v>1126</v>
      </c>
    </row>
    <row r="2530" spans="1:6" x14ac:dyDescent="0.2">
      <c r="A2530">
        <v>66226300</v>
      </c>
      <c r="B2530">
        <v>2015</v>
      </c>
      <c r="C2530">
        <v>65</v>
      </c>
      <c r="D2530" t="s">
        <v>587</v>
      </c>
      <c r="E2530" t="s">
        <v>5</v>
      </c>
      <c r="F2530" t="s">
        <v>1126</v>
      </c>
    </row>
    <row r="2531" spans="1:6" x14ac:dyDescent="0.2">
      <c r="A2531">
        <v>27430880</v>
      </c>
      <c r="B2531">
        <v>2020</v>
      </c>
      <c r="C2531">
        <v>6.3366195982423301</v>
      </c>
      <c r="D2531" t="s">
        <v>266</v>
      </c>
      <c r="E2531" t="s">
        <v>267</v>
      </c>
      <c r="F2531" t="s">
        <v>268</v>
      </c>
    </row>
    <row r="2532" spans="1:6" x14ac:dyDescent="0.2">
      <c r="A2532">
        <v>27430880</v>
      </c>
      <c r="B2532">
        <v>2019</v>
      </c>
      <c r="C2532">
        <v>5.6986544827074397</v>
      </c>
      <c r="D2532" t="s">
        <v>266</v>
      </c>
      <c r="E2532" t="s">
        <v>267</v>
      </c>
      <c r="F2532" t="s">
        <v>268</v>
      </c>
    </row>
    <row r="2533" spans="1:6" x14ac:dyDescent="0.2">
      <c r="A2533">
        <v>27430880</v>
      </c>
      <c r="B2533">
        <v>2018</v>
      </c>
      <c r="C2533">
        <v>4.7889276028943</v>
      </c>
      <c r="D2533" t="s">
        <v>266</v>
      </c>
      <c r="E2533" t="s">
        <v>267</v>
      </c>
      <c r="F2533" t="s">
        <v>268</v>
      </c>
    </row>
    <row r="2534" spans="1:6" x14ac:dyDescent="0.2">
      <c r="A2534">
        <v>27430880</v>
      </c>
      <c r="B2534">
        <v>2017</v>
      </c>
      <c r="C2534">
        <v>3.7446129135607999</v>
      </c>
      <c r="D2534" t="s">
        <v>266</v>
      </c>
      <c r="E2534" t="s">
        <v>267</v>
      </c>
      <c r="F2534" t="s">
        <v>268</v>
      </c>
    </row>
    <row r="2535" spans="1:6" x14ac:dyDescent="0.2">
      <c r="A2535">
        <v>27430880</v>
      </c>
      <c r="B2535">
        <v>2016</v>
      </c>
      <c r="C2535">
        <v>3.3037389817340101</v>
      </c>
      <c r="D2535" t="s">
        <v>266</v>
      </c>
      <c r="E2535" t="s">
        <v>267</v>
      </c>
      <c r="F2535" t="s">
        <v>268</v>
      </c>
    </row>
    <row r="2536" spans="1:6" x14ac:dyDescent="0.2">
      <c r="A2536">
        <v>27430880</v>
      </c>
      <c r="B2536">
        <v>2015</v>
      </c>
      <c r="C2536">
        <v>3.6090605483334199</v>
      </c>
      <c r="D2536" t="s">
        <v>266</v>
      </c>
      <c r="E2536" t="s">
        <v>267</v>
      </c>
      <c r="F2536" t="s">
        <v>268</v>
      </c>
    </row>
    <row r="2537" spans="1:6" x14ac:dyDescent="0.2">
      <c r="A2537">
        <v>27430880</v>
      </c>
      <c r="B2537">
        <v>2014</v>
      </c>
      <c r="C2537">
        <v>4.38615108168145</v>
      </c>
      <c r="D2537" t="s">
        <v>266</v>
      </c>
      <c r="E2537" t="s">
        <v>267</v>
      </c>
      <c r="F2537" t="s">
        <v>268</v>
      </c>
    </row>
    <row r="2538" spans="1:6" x14ac:dyDescent="0.2">
      <c r="A2538">
        <v>27430880</v>
      </c>
      <c r="B2538">
        <v>2013</v>
      </c>
      <c r="C2538">
        <v>7.8622512437810999</v>
      </c>
      <c r="D2538" t="s">
        <v>266</v>
      </c>
      <c r="E2538" t="s">
        <v>267</v>
      </c>
      <c r="F2538" t="s">
        <v>268</v>
      </c>
    </row>
    <row r="2539" spans="1:6" x14ac:dyDescent="0.2">
      <c r="A2539">
        <v>75930296</v>
      </c>
      <c r="B2539">
        <v>2020</v>
      </c>
      <c r="C2539">
        <v>63.7911111111111</v>
      </c>
      <c r="D2539" t="s">
        <v>686</v>
      </c>
      <c r="E2539" t="s">
        <v>687</v>
      </c>
      <c r="F2539" t="s">
        <v>1126</v>
      </c>
    </row>
    <row r="2540" spans="1:6" x14ac:dyDescent="0.2">
      <c r="A2540">
        <v>75930296</v>
      </c>
      <c r="B2540">
        <v>2019</v>
      </c>
      <c r="C2540">
        <v>73.453636363636406</v>
      </c>
      <c r="D2540" t="s">
        <v>686</v>
      </c>
      <c r="E2540" t="s">
        <v>687</v>
      </c>
      <c r="F2540" t="s">
        <v>1126</v>
      </c>
    </row>
    <row r="2541" spans="1:6" x14ac:dyDescent="0.2">
      <c r="A2541">
        <v>75930296</v>
      </c>
      <c r="B2541">
        <v>2018</v>
      </c>
      <c r="C2541">
        <v>70.123750000000001</v>
      </c>
      <c r="D2541" t="s">
        <v>686</v>
      </c>
      <c r="E2541" t="s">
        <v>687</v>
      </c>
      <c r="F2541" t="s">
        <v>1126</v>
      </c>
    </row>
    <row r="2542" spans="1:6" x14ac:dyDescent="0.2">
      <c r="A2542">
        <v>75930296</v>
      </c>
      <c r="B2542">
        <v>2017</v>
      </c>
      <c r="C2542">
        <v>66.427142857142897</v>
      </c>
      <c r="D2542" t="s">
        <v>686</v>
      </c>
      <c r="E2542" t="s">
        <v>687</v>
      </c>
      <c r="F2542" t="s">
        <v>1126</v>
      </c>
    </row>
    <row r="2543" spans="1:6" x14ac:dyDescent="0.2">
      <c r="A2543">
        <v>75930296</v>
      </c>
      <c r="B2543">
        <v>2016</v>
      </c>
      <c r="C2543">
        <v>62.3333333333333</v>
      </c>
      <c r="D2543" t="s">
        <v>686</v>
      </c>
      <c r="E2543" t="s">
        <v>687</v>
      </c>
      <c r="F2543" t="s">
        <v>1126</v>
      </c>
    </row>
    <row r="2544" spans="1:6" x14ac:dyDescent="0.2">
      <c r="A2544">
        <v>75930296</v>
      </c>
      <c r="B2544">
        <v>2015</v>
      </c>
      <c r="C2544">
        <v>50.899000000000001</v>
      </c>
      <c r="D2544" t="s">
        <v>686</v>
      </c>
      <c r="E2544" t="s">
        <v>687</v>
      </c>
      <c r="F2544" t="s">
        <v>1126</v>
      </c>
    </row>
    <row r="2545" spans="1:6" x14ac:dyDescent="0.2">
      <c r="A2545">
        <v>75930296</v>
      </c>
      <c r="B2545">
        <v>2014</v>
      </c>
      <c r="C2545">
        <v>44.8</v>
      </c>
      <c r="D2545" t="s">
        <v>686</v>
      </c>
      <c r="E2545" t="s">
        <v>687</v>
      </c>
      <c r="F2545" t="s">
        <v>1126</v>
      </c>
    </row>
    <row r="2546" spans="1:6" x14ac:dyDescent="0.2">
      <c r="A2546">
        <v>75930296</v>
      </c>
      <c r="B2546">
        <v>2013</v>
      </c>
      <c r="C2546">
        <v>53.3333333333333</v>
      </c>
      <c r="D2546" t="s">
        <v>686</v>
      </c>
      <c r="E2546" t="s">
        <v>687</v>
      </c>
      <c r="F2546" t="s">
        <v>1126</v>
      </c>
    </row>
    <row r="2547" spans="1:6" x14ac:dyDescent="0.2">
      <c r="A2547">
        <v>63976700</v>
      </c>
      <c r="B2547">
        <v>2016</v>
      </c>
      <c r="C2547">
        <v>14.704955570027099</v>
      </c>
      <c r="D2547" t="s">
        <v>884</v>
      </c>
      <c r="E2547"/>
      <c r="F2547" t="s">
        <v>139</v>
      </c>
    </row>
    <row r="2548" spans="1:6" x14ac:dyDescent="0.2">
      <c r="A2548">
        <v>58071426</v>
      </c>
      <c r="B2548">
        <v>2019</v>
      </c>
      <c r="C2548">
        <v>99</v>
      </c>
      <c r="D2548" t="s">
        <v>768</v>
      </c>
      <c r="E2548" t="s">
        <v>445</v>
      </c>
      <c r="F2548" t="s">
        <v>1126</v>
      </c>
    </row>
    <row r="2549" spans="1:6" x14ac:dyDescent="0.2">
      <c r="A2549">
        <v>58071426</v>
      </c>
      <c r="B2549">
        <v>2018</v>
      </c>
      <c r="C2549">
        <v>81.3333333333333</v>
      </c>
      <c r="D2549" t="s">
        <v>768</v>
      </c>
      <c r="E2549" t="s">
        <v>445</v>
      </c>
      <c r="F2549" t="s">
        <v>1126</v>
      </c>
    </row>
    <row r="2550" spans="1:6" x14ac:dyDescent="0.2">
      <c r="A2550">
        <v>36577303</v>
      </c>
      <c r="B2550">
        <v>2020</v>
      </c>
      <c r="C2550">
        <v>81.662499999999994</v>
      </c>
      <c r="D2550" t="s">
        <v>772</v>
      </c>
      <c r="E2550" t="s">
        <v>652</v>
      </c>
      <c r="F2550" t="s">
        <v>1126</v>
      </c>
    </row>
    <row r="2551" spans="1:6" x14ac:dyDescent="0.2">
      <c r="A2551">
        <v>36577303</v>
      </c>
      <c r="B2551">
        <v>2019</v>
      </c>
      <c r="C2551">
        <v>70.727272727272705</v>
      </c>
      <c r="D2551" t="s">
        <v>772</v>
      </c>
      <c r="E2551" t="s">
        <v>652</v>
      </c>
      <c r="F2551" t="s">
        <v>1126</v>
      </c>
    </row>
    <row r="2552" spans="1:6" x14ac:dyDescent="0.2">
      <c r="A2552">
        <v>36577303</v>
      </c>
      <c r="B2552">
        <v>2018</v>
      </c>
      <c r="C2552">
        <v>74.230769230769198</v>
      </c>
      <c r="D2552" t="s">
        <v>772</v>
      </c>
      <c r="E2552" t="s">
        <v>652</v>
      </c>
      <c r="F2552" t="s">
        <v>1126</v>
      </c>
    </row>
    <row r="2553" spans="1:6" x14ac:dyDescent="0.2">
      <c r="A2553">
        <v>36577303</v>
      </c>
      <c r="B2553">
        <v>2017</v>
      </c>
      <c r="C2553">
        <v>63.955454545454501</v>
      </c>
      <c r="D2553" t="s">
        <v>772</v>
      </c>
      <c r="E2553" t="s">
        <v>652</v>
      </c>
      <c r="F2553" t="s">
        <v>1126</v>
      </c>
    </row>
    <row r="2554" spans="1:6" x14ac:dyDescent="0.2">
      <c r="A2554">
        <v>36577303</v>
      </c>
      <c r="B2554">
        <v>2016</v>
      </c>
      <c r="C2554">
        <v>54.248750000000001</v>
      </c>
      <c r="D2554" t="s">
        <v>772</v>
      </c>
      <c r="E2554" t="s">
        <v>652</v>
      </c>
      <c r="F2554" t="s">
        <v>1126</v>
      </c>
    </row>
    <row r="2555" spans="1:6" x14ac:dyDescent="0.2">
      <c r="A2555">
        <v>36577303</v>
      </c>
      <c r="B2555">
        <v>2015</v>
      </c>
      <c r="C2555">
        <v>62.328333333333298</v>
      </c>
      <c r="D2555" t="s">
        <v>772</v>
      </c>
      <c r="E2555" t="s">
        <v>652</v>
      </c>
      <c r="F2555" t="s">
        <v>1126</v>
      </c>
    </row>
    <row r="2556" spans="1:6" x14ac:dyDescent="0.2">
      <c r="A2556">
        <v>36577303</v>
      </c>
      <c r="B2556">
        <v>2013</v>
      </c>
      <c r="C2556">
        <v>31.6666666666667</v>
      </c>
      <c r="D2556" t="s">
        <v>772</v>
      </c>
      <c r="E2556" t="s">
        <v>652</v>
      </c>
      <c r="F2556" t="s">
        <v>1126</v>
      </c>
    </row>
    <row r="2557" spans="1:6" x14ac:dyDescent="0.2">
      <c r="A2557">
        <v>80971450</v>
      </c>
      <c r="B2557">
        <v>2020</v>
      </c>
      <c r="C2557">
        <v>7.8401968317051898</v>
      </c>
      <c r="D2557" t="s">
        <v>104</v>
      </c>
      <c r="E2557" t="s">
        <v>105</v>
      </c>
      <c r="F2557" t="s">
        <v>94</v>
      </c>
    </row>
    <row r="2558" spans="1:6" x14ac:dyDescent="0.2">
      <c r="A2558">
        <v>80971450</v>
      </c>
      <c r="B2558">
        <v>2019</v>
      </c>
      <c r="C2558">
        <v>6.8727892527903496</v>
      </c>
      <c r="D2558" t="s">
        <v>104</v>
      </c>
      <c r="E2558" t="s">
        <v>105</v>
      </c>
      <c r="F2558" t="s">
        <v>94</v>
      </c>
    </row>
    <row r="2559" spans="1:6" x14ac:dyDescent="0.2">
      <c r="A2559">
        <v>80971450</v>
      </c>
      <c r="B2559">
        <v>2018</v>
      </c>
      <c r="C2559">
        <v>8.8111250518772799</v>
      </c>
      <c r="D2559" t="s">
        <v>104</v>
      </c>
      <c r="E2559" t="s">
        <v>105</v>
      </c>
      <c r="F2559" t="s">
        <v>94</v>
      </c>
    </row>
    <row r="2560" spans="1:6" x14ac:dyDescent="0.2">
      <c r="A2560">
        <v>87185019</v>
      </c>
      <c r="B2560">
        <v>2020</v>
      </c>
      <c r="C2560">
        <v>8.9946604945344593</v>
      </c>
      <c r="D2560" t="s">
        <v>897</v>
      </c>
      <c r="E2560"/>
      <c r="F2560" t="s">
        <v>600</v>
      </c>
    </row>
    <row r="2561" spans="1:6" x14ac:dyDescent="0.2">
      <c r="A2561">
        <v>87185019</v>
      </c>
      <c r="B2561">
        <v>2019</v>
      </c>
      <c r="C2561">
        <v>8.4695599310765992</v>
      </c>
      <c r="D2561" t="s">
        <v>897</v>
      </c>
      <c r="E2561"/>
      <c r="F2561" t="s">
        <v>600</v>
      </c>
    </row>
    <row r="2562" spans="1:6" x14ac:dyDescent="0.2">
      <c r="A2562">
        <v>87185019</v>
      </c>
      <c r="B2562">
        <v>2018</v>
      </c>
      <c r="C2562">
        <v>8.6028984751905409</v>
      </c>
      <c r="D2562" t="s">
        <v>897</v>
      </c>
      <c r="E2562"/>
      <c r="F2562" t="s">
        <v>600</v>
      </c>
    </row>
    <row r="2563" spans="1:6" x14ac:dyDescent="0.2">
      <c r="A2563">
        <v>87185019</v>
      </c>
      <c r="B2563">
        <v>2017</v>
      </c>
      <c r="C2563">
        <v>10.023266282459799</v>
      </c>
      <c r="D2563" t="s">
        <v>897</v>
      </c>
      <c r="E2563"/>
      <c r="F2563" t="s">
        <v>600</v>
      </c>
    </row>
    <row r="2564" spans="1:6" x14ac:dyDescent="0.2">
      <c r="A2564">
        <v>23197627</v>
      </c>
      <c r="B2564">
        <v>2020</v>
      </c>
      <c r="C2564">
        <v>67.0792</v>
      </c>
      <c r="D2564" t="s">
        <v>822</v>
      </c>
      <c r="E2564" t="s">
        <v>494</v>
      </c>
      <c r="F2564" t="s">
        <v>1126</v>
      </c>
    </row>
    <row r="2565" spans="1:6" x14ac:dyDescent="0.2">
      <c r="A2565">
        <v>23197627</v>
      </c>
      <c r="B2565">
        <v>2019</v>
      </c>
      <c r="C2565">
        <v>65.162333333333294</v>
      </c>
      <c r="D2565" t="s">
        <v>822</v>
      </c>
      <c r="E2565" t="s">
        <v>494</v>
      </c>
      <c r="F2565" t="s">
        <v>1126</v>
      </c>
    </row>
    <row r="2566" spans="1:6" x14ac:dyDescent="0.2">
      <c r="A2566">
        <v>23197627</v>
      </c>
      <c r="B2566">
        <v>2018</v>
      </c>
      <c r="C2566">
        <v>61.274250000000002</v>
      </c>
      <c r="D2566" t="s">
        <v>822</v>
      </c>
      <c r="E2566" t="s">
        <v>494</v>
      </c>
      <c r="F2566" t="s">
        <v>1126</v>
      </c>
    </row>
    <row r="2567" spans="1:6" x14ac:dyDescent="0.2">
      <c r="A2567">
        <v>23197627</v>
      </c>
      <c r="B2567">
        <v>2017</v>
      </c>
      <c r="C2567">
        <v>56.373478260869597</v>
      </c>
      <c r="D2567" t="s">
        <v>822</v>
      </c>
      <c r="E2567" t="s">
        <v>494</v>
      </c>
      <c r="F2567" t="s">
        <v>1126</v>
      </c>
    </row>
    <row r="2568" spans="1:6" x14ac:dyDescent="0.2">
      <c r="A2568">
        <v>23197627</v>
      </c>
      <c r="B2568">
        <v>2016</v>
      </c>
      <c r="C2568">
        <v>57.664827586206897</v>
      </c>
      <c r="D2568" t="s">
        <v>822</v>
      </c>
      <c r="E2568" t="s">
        <v>494</v>
      </c>
      <c r="F2568" t="s">
        <v>1126</v>
      </c>
    </row>
    <row r="2569" spans="1:6" x14ac:dyDescent="0.2">
      <c r="A2569">
        <v>23197627</v>
      </c>
      <c r="B2569">
        <v>2015</v>
      </c>
      <c r="C2569">
        <v>54.842083333333299</v>
      </c>
      <c r="D2569" t="s">
        <v>822</v>
      </c>
      <c r="E2569" t="s">
        <v>494</v>
      </c>
      <c r="F2569" t="s">
        <v>1126</v>
      </c>
    </row>
    <row r="2570" spans="1:6" x14ac:dyDescent="0.2">
      <c r="A2570">
        <v>23197627</v>
      </c>
      <c r="B2570">
        <v>2014</v>
      </c>
      <c r="C2570">
        <v>54.1666666666667</v>
      </c>
      <c r="D2570" t="s">
        <v>822</v>
      </c>
      <c r="E2570" t="s">
        <v>494</v>
      </c>
      <c r="F2570" t="s">
        <v>1126</v>
      </c>
    </row>
    <row r="2571" spans="1:6" x14ac:dyDescent="0.2">
      <c r="A2571">
        <v>23197627</v>
      </c>
      <c r="B2571">
        <v>2013</v>
      </c>
      <c r="C2571">
        <v>57.996000000000002</v>
      </c>
      <c r="D2571" t="s">
        <v>822</v>
      </c>
      <c r="E2571" t="s">
        <v>494</v>
      </c>
      <c r="F2571" t="s">
        <v>1126</v>
      </c>
    </row>
    <row r="2572" spans="1:6" x14ac:dyDescent="0.2">
      <c r="A2572">
        <v>23197627</v>
      </c>
      <c r="B2572">
        <v>2012</v>
      </c>
      <c r="C2572">
        <v>44.164999999999999</v>
      </c>
      <c r="D2572" t="s">
        <v>822</v>
      </c>
      <c r="E2572" t="s">
        <v>494</v>
      </c>
      <c r="F2572" t="s">
        <v>1126</v>
      </c>
    </row>
    <row r="2573" spans="1:6" x14ac:dyDescent="0.2">
      <c r="A2573">
        <v>23197627</v>
      </c>
      <c r="B2573">
        <v>2011</v>
      </c>
      <c r="C2573">
        <v>38.3333333333333</v>
      </c>
      <c r="D2573" t="s">
        <v>822</v>
      </c>
      <c r="E2573" t="s">
        <v>494</v>
      </c>
      <c r="F2573" t="s">
        <v>1126</v>
      </c>
    </row>
    <row r="2574" spans="1:6" x14ac:dyDescent="0.2">
      <c r="A2574">
        <v>75826394</v>
      </c>
      <c r="B2574">
        <v>2019</v>
      </c>
      <c r="C2574">
        <v>48.025860078503797</v>
      </c>
      <c r="D2574" t="s">
        <v>697</v>
      </c>
      <c r="E2574" t="s">
        <v>698</v>
      </c>
      <c r="F2574" t="s">
        <v>185</v>
      </c>
    </row>
    <row r="2575" spans="1:6" x14ac:dyDescent="0.2">
      <c r="A2575">
        <v>75826394</v>
      </c>
      <c r="B2575">
        <v>2018</v>
      </c>
      <c r="C2575">
        <v>40.588829571276001</v>
      </c>
      <c r="D2575" t="s">
        <v>697</v>
      </c>
      <c r="E2575" t="s">
        <v>698</v>
      </c>
      <c r="F2575" t="s">
        <v>185</v>
      </c>
    </row>
    <row r="2576" spans="1:6" x14ac:dyDescent="0.2">
      <c r="A2576">
        <v>75826394</v>
      </c>
      <c r="B2576">
        <v>2015</v>
      </c>
      <c r="C2576">
        <v>34.451677516274401</v>
      </c>
      <c r="D2576" t="s">
        <v>697</v>
      </c>
      <c r="E2576" t="s">
        <v>698</v>
      </c>
      <c r="F2576" t="s">
        <v>185</v>
      </c>
    </row>
    <row r="2577" spans="1:6" x14ac:dyDescent="0.2">
      <c r="A2577">
        <v>54426056</v>
      </c>
      <c r="B2577">
        <v>2019</v>
      </c>
      <c r="C2577">
        <v>56.149422356442798</v>
      </c>
      <c r="D2577" t="s">
        <v>1033</v>
      </c>
      <c r="E2577" t="s">
        <v>32</v>
      </c>
      <c r="F2577" t="s">
        <v>33</v>
      </c>
    </row>
    <row r="2578" spans="1:6" x14ac:dyDescent="0.2">
      <c r="A2578">
        <v>54426056</v>
      </c>
      <c r="B2578">
        <v>2018</v>
      </c>
      <c r="C2578">
        <v>49.518691183692198</v>
      </c>
      <c r="D2578" t="s">
        <v>1033</v>
      </c>
      <c r="E2578" t="s">
        <v>32</v>
      </c>
      <c r="F2578" t="s">
        <v>33</v>
      </c>
    </row>
    <row r="2579" spans="1:6" x14ac:dyDescent="0.2">
      <c r="A2579">
        <v>54426056</v>
      </c>
      <c r="B2579">
        <v>2017</v>
      </c>
      <c r="C2579">
        <v>55.8284699955382</v>
      </c>
      <c r="D2579" t="s">
        <v>1033</v>
      </c>
      <c r="E2579" t="s">
        <v>32</v>
      </c>
      <c r="F2579" t="s">
        <v>33</v>
      </c>
    </row>
    <row r="2580" spans="1:6" x14ac:dyDescent="0.2">
      <c r="A2580">
        <v>10601371</v>
      </c>
      <c r="B2580">
        <v>2020</v>
      </c>
      <c r="C2580">
        <v>23.0503861818353</v>
      </c>
      <c r="D2580" t="s">
        <v>207</v>
      </c>
      <c r="E2580" t="s">
        <v>208</v>
      </c>
      <c r="F2580" t="s">
        <v>172</v>
      </c>
    </row>
    <row r="2581" spans="1:6" x14ac:dyDescent="0.2">
      <c r="A2581">
        <v>10601371</v>
      </c>
      <c r="B2581">
        <v>2018</v>
      </c>
      <c r="C2581">
        <v>23.086288958112601</v>
      </c>
      <c r="D2581" t="s">
        <v>207</v>
      </c>
      <c r="E2581" t="s">
        <v>208</v>
      </c>
      <c r="F2581" t="s">
        <v>172</v>
      </c>
    </row>
    <row r="2582" spans="1:6" x14ac:dyDescent="0.2">
      <c r="A2582">
        <v>10601371</v>
      </c>
      <c r="B2582">
        <v>2017</v>
      </c>
      <c r="C2582">
        <v>21.4539719385069</v>
      </c>
      <c r="D2582" t="s">
        <v>207</v>
      </c>
      <c r="E2582" t="s">
        <v>208</v>
      </c>
      <c r="F2582" t="s">
        <v>172</v>
      </c>
    </row>
    <row r="2583" spans="1:6" x14ac:dyDescent="0.2">
      <c r="A2583">
        <v>10601371</v>
      </c>
      <c r="B2583">
        <v>2016</v>
      </c>
      <c r="C2583">
        <v>22.050383616262899</v>
      </c>
      <c r="D2583" t="s">
        <v>207</v>
      </c>
      <c r="E2583" t="s">
        <v>208</v>
      </c>
      <c r="F2583" t="s">
        <v>172</v>
      </c>
    </row>
    <row r="2584" spans="1:6" x14ac:dyDescent="0.2">
      <c r="A2584">
        <v>10601371</v>
      </c>
      <c r="B2584">
        <v>2015</v>
      </c>
      <c r="C2584">
        <v>21.385126447759902</v>
      </c>
      <c r="D2584" t="s">
        <v>207</v>
      </c>
      <c r="E2584" t="s">
        <v>208</v>
      </c>
      <c r="F2584" t="s">
        <v>172</v>
      </c>
    </row>
    <row r="2585" spans="1:6" x14ac:dyDescent="0.2">
      <c r="A2585">
        <v>10601371</v>
      </c>
      <c r="B2585">
        <v>2013</v>
      </c>
      <c r="C2585">
        <v>23.096885813148798</v>
      </c>
      <c r="D2585" t="s">
        <v>207</v>
      </c>
      <c r="E2585" t="s">
        <v>208</v>
      </c>
      <c r="F2585" t="s">
        <v>172</v>
      </c>
    </row>
    <row r="2586" spans="1:6" x14ac:dyDescent="0.2">
      <c r="A2586">
        <v>28139132</v>
      </c>
      <c r="B2586">
        <v>2020</v>
      </c>
      <c r="C2586">
        <v>46.958183945958702</v>
      </c>
      <c r="D2586" t="s">
        <v>77</v>
      </c>
      <c r="E2586"/>
      <c r="F2586" t="s">
        <v>78</v>
      </c>
    </row>
    <row r="2587" spans="1:6" x14ac:dyDescent="0.2">
      <c r="A2587">
        <v>28139132</v>
      </c>
      <c r="B2587">
        <v>2019</v>
      </c>
      <c r="C2587">
        <v>50.679320436676797</v>
      </c>
      <c r="D2587" t="s">
        <v>77</v>
      </c>
      <c r="E2587"/>
      <c r="F2587" t="s">
        <v>78</v>
      </c>
    </row>
    <row r="2588" spans="1:6" x14ac:dyDescent="0.2">
      <c r="A2588">
        <v>28139132</v>
      </c>
      <c r="B2588">
        <v>2018</v>
      </c>
      <c r="C2588">
        <v>54.6654138545397</v>
      </c>
      <c r="D2588" t="s">
        <v>77</v>
      </c>
      <c r="E2588"/>
      <c r="F2588" t="s">
        <v>78</v>
      </c>
    </row>
    <row r="2589" spans="1:6" x14ac:dyDescent="0.2">
      <c r="A2589">
        <v>28139132</v>
      </c>
      <c r="B2589">
        <v>2017</v>
      </c>
      <c r="C2589">
        <v>48.796369299081697</v>
      </c>
      <c r="D2589" t="s">
        <v>77</v>
      </c>
      <c r="E2589"/>
      <c r="F2589" t="s">
        <v>78</v>
      </c>
    </row>
    <row r="2590" spans="1:6" x14ac:dyDescent="0.2">
      <c r="A2590">
        <v>28139132</v>
      </c>
      <c r="B2590">
        <v>2016</v>
      </c>
      <c r="C2590">
        <v>41.779036562945301</v>
      </c>
      <c r="D2590" t="s">
        <v>77</v>
      </c>
      <c r="E2590"/>
      <c r="F2590" t="s">
        <v>78</v>
      </c>
    </row>
    <row r="2591" spans="1:6" x14ac:dyDescent="0.2">
      <c r="A2591">
        <v>28139132</v>
      </c>
      <c r="B2591">
        <v>2015</v>
      </c>
      <c r="C2591">
        <v>38.873882471587002</v>
      </c>
      <c r="D2591" t="s">
        <v>77</v>
      </c>
      <c r="E2591"/>
      <c r="F2591" t="s">
        <v>78</v>
      </c>
    </row>
    <row r="2592" spans="1:6" x14ac:dyDescent="0.2">
      <c r="A2592">
        <v>28139132</v>
      </c>
      <c r="B2592">
        <v>2014</v>
      </c>
      <c r="C2592">
        <v>49.376949638847599</v>
      </c>
      <c r="D2592" t="s">
        <v>77</v>
      </c>
      <c r="E2592"/>
      <c r="F2592" t="s">
        <v>78</v>
      </c>
    </row>
    <row r="2593" spans="1:6" x14ac:dyDescent="0.2">
      <c r="A2593">
        <v>28139132</v>
      </c>
      <c r="B2593">
        <v>2013</v>
      </c>
      <c r="C2593">
        <v>55.3094832481545</v>
      </c>
      <c r="D2593" t="s">
        <v>77</v>
      </c>
      <c r="E2593"/>
      <c r="F2593" t="s">
        <v>78</v>
      </c>
    </row>
    <row r="2594" spans="1:6" x14ac:dyDescent="0.2">
      <c r="A2594">
        <v>28139132</v>
      </c>
      <c r="B2594">
        <v>2012</v>
      </c>
      <c r="C2594">
        <v>55.053191489361701</v>
      </c>
      <c r="D2594" t="s">
        <v>77</v>
      </c>
      <c r="E2594"/>
      <c r="F2594" t="s">
        <v>78</v>
      </c>
    </row>
    <row r="2595" spans="1:6" x14ac:dyDescent="0.2">
      <c r="A2595">
        <v>28139132</v>
      </c>
      <c r="B2595">
        <v>2011</v>
      </c>
      <c r="C2595">
        <v>55.2678171641791</v>
      </c>
      <c r="D2595" t="s">
        <v>77</v>
      </c>
      <c r="E2595"/>
      <c r="F2595" t="s">
        <v>78</v>
      </c>
    </row>
    <row r="2596" spans="1:6" x14ac:dyDescent="0.2">
      <c r="A2596">
        <v>28139132</v>
      </c>
      <c r="B2596">
        <v>2010</v>
      </c>
      <c r="C2596">
        <v>44.193714580113301</v>
      </c>
      <c r="D2596" t="s">
        <v>77</v>
      </c>
      <c r="E2596"/>
      <c r="F2596" t="s">
        <v>78</v>
      </c>
    </row>
    <row r="2597" spans="1:6" x14ac:dyDescent="0.2">
      <c r="A2597">
        <v>69628928</v>
      </c>
      <c r="B2597">
        <v>2020</v>
      </c>
      <c r="C2597">
        <v>18.211089121221001</v>
      </c>
      <c r="D2597" t="s">
        <v>492</v>
      </c>
      <c r="E2597"/>
      <c r="F2597" t="s">
        <v>139</v>
      </c>
    </row>
    <row r="2598" spans="1:6" x14ac:dyDescent="0.2">
      <c r="A2598">
        <v>69628928</v>
      </c>
      <c r="B2598">
        <v>2019</v>
      </c>
      <c r="C2598">
        <v>17.116554608776799</v>
      </c>
      <c r="D2598" t="s">
        <v>492</v>
      </c>
      <c r="E2598"/>
      <c r="F2598" t="s">
        <v>139</v>
      </c>
    </row>
    <row r="2599" spans="1:6" x14ac:dyDescent="0.2">
      <c r="A2599">
        <v>69628928</v>
      </c>
      <c r="B2599">
        <v>2018</v>
      </c>
      <c r="C2599">
        <v>18.408589098879201</v>
      </c>
      <c r="D2599" t="s">
        <v>492</v>
      </c>
      <c r="E2599"/>
      <c r="F2599" t="s">
        <v>139</v>
      </c>
    </row>
    <row r="2600" spans="1:6" x14ac:dyDescent="0.2">
      <c r="A2600">
        <v>69628928</v>
      </c>
      <c r="B2600">
        <v>2017</v>
      </c>
      <c r="C2600">
        <v>16.736449392198899</v>
      </c>
      <c r="D2600" t="s">
        <v>492</v>
      </c>
      <c r="E2600"/>
      <c r="F2600" t="s">
        <v>139</v>
      </c>
    </row>
    <row r="2601" spans="1:6" x14ac:dyDescent="0.2">
      <c r="A2601">
        <v>69628928</v>
      </c>
      <c r="B2601">
        <v>2016</v>
      </c>
      <c r="C2601">
        <v>11.465663928744</v>
      </c>
      <c r="D2601" t="s">
        <v>492</v>
      </c>
      <c r="E2601"/>
      <c r="F2601" t="s">
        <v>139</v>
      </c>
    </row>
    <row r="2602" spans="1:6" x14ac:dyDescent="0.2">
      <c r="A2602">
        <v>69628928</v>
      </c>
      <c r="B2602">
        <v>2015</v>
      </c>
      <c r="C2602">
        <v>14.4257563694268</v>
      </c>
      <c r="D2602" t="s">
        <v>492</v>
      </c>
      <c r="E2602"/>
      <c r="F2602" t="s">
        <v>139</v>
      </c>
    </row>
    <row r="2603" spans="1:6" x14ac:dyDescent="0.2">
      <c r="A2603">
        <v>76878135</v>
      </c>
      <c r="B2603">
        <v>2020</v>
      </c>
      <c r="C2603">
        <v>48.032879554301999</v>
      </c>
      <c r="D2603" t="s">
        <v>277</v>
      </c>
      <c r="E2603" t="s">
        <v>32</v>
      </c>
      <c r="F2603" t="s">
        <v>33</v>
      </c>
    </row>
    <row r="2604" spans="1:6" x14ac:dyDescent="0.2">
      <c r="A2604">
        <v>76878135</v>
      </c>
      <c r="B2604">
        <v>2019</v>
      </c>
      <c r="C2604">
        <v>47.740576766140002</v>
      </c>
      <c r="D2604" t="s">
        <v>277</v>
      </c>
      <c r="E2604" t="s">
        <v>32</v>
      </c>
      <c r="F2604" t="s">
        <v>33</v>
      </c>
    </row>
    <row r="2605" spans="1:6" x14ac:dyDescent="0.2">
      <c r="A2605">
        <v>76878135</v>
      </c>
      <c r="B2605">
        <v>2018</v>
      </c>
      <c r="C2605">
        <v>54.060905674996398</v>
      </c>
      <c r="D2605" t="s">
        <v>277</v>
      </c>
      <c r="E2605" t="s">
        <v>32</v>
      </c>
      <c r="F2605" t="s">
        <v>33</v>
      </c>
    </row>
    <row r="2606" spans="1:6" x14ac:dyDescent="0.2">
      <c r="A2606">
        <v>76878135</v>
      </c>
      <c r="B2606">
        <v>2017</v>
      </c>
      <c r="C2606">
        <v>49.771037006956099</v>
      </c>
      <c r="D2606" t="s">
        <v>277</v>
      </c>
      <c r="E2606" t="s">
        <v>32</v>
      </c>
      <c r="F2606" t="s">
        <v>33</v>
      </c>
    </row>
    <row r="2607" spans="1:6" x14ac:dyDescent="0.2">
      <c r="A2607">
        <v>76878135</v>
      </c>
      <c r="B2607">
        <v>2015</v>
      </c>
      <c r="C2607">
        <v>44.1416214923469</v>
      </c>
      <c r="D2607" t="s">
        <v>277</v>
      </c>
      <c r="E2607" t="s">
        <v>32</v>
      </c>
      <c r="F2607" t="s">
        <v>33</v>
      </c>
    </row>
    <row r="2608" spans="1:6" x14ac:dyDescent="0.2">
      <c r="A2608">
        <v>76878135</v>
      </c>
      <c r="B2608">
        <v>2014</v>
      </c>
      <c r="C2608">
        <v>49.546506152365801</v>
      </c>
      <c r="D2608" t="s">
        <v>277</v>
      </c>
      <c r="E2608" t="s">
        <v>32</v>
      </c>
      <c r="F2608" t="s">
        <v>33</v>
      </c>
    </row>
    <row r="2609" spans="1:6" x14ac:dyDescent="0.2">
      <c r="A2609">
        <v>76878135</v>
      </c>
      <c r="B2609">
        <v>2013</v>
      </c>
      <c r="C2609">
        <v>44.978632478632498</v>
      </c>
      <c r="D2609" t="s">
        <v>277</v>
      </c>
      <c r="E2609" t="s">
        <v>32</v>
      </c>
      <c r="F2609" t="s">
        <v>33</v>
      </c>
    </row>
    <row r="2610" spans="1:6" x14ac:dyDescent="0.2">
      <c r="A2610">
        <v>76878135</v>
      </c>
      <c r="B2610">
        <v>2012</v>
      </c>
      <c r="C2610">
        <v>46.9255663430421</v>
      </c>
      <c r="D2610" t="s">
        <v>277</v>
      </c>
      <c r="E2610" t="s">
        <v>32</v>
      </c>
      <c r="F2610" t="s">
        <v>33</v>
      </c>
    </row>
    <row r="2611" spans="1:6" x14ac:dyDescent="0.2">
      <c r="A2611">
        <v>76878135</v>
      </c>
      <c r="B2611">
        <v>2011</v>
      </c>
      <c r="C2611">
        <v>51.5463917525773</v>
      </c>
      <c r="D2611" t="s">
        <v>277</v>
      </c>
      <c r="E2611" t="s">
        <v>32</v>
      </c>
      <c r="F2611" t="s">
        <v>33</v>
      </c>
    </row>
    <row r="2612" spans="1:6" x14ac:dyDescent="0.2">
      <c r="A2612">
        <v>76878135</v>
      </c>
      <c r="B2612">
        <v>2010</v>
      </c>
      <c r="C2612">
        <v>36.8589743589744</v>
      </c>
      <c r="D2612" t="s">
        <v>277</v>
      </c>
      <c r="E2612" t="s">
        <v>32</v>
      </c>
      <c r="F2612" t="s">
        <v>33</v>
      </c>
    </row>
    <row r="2613" spans="1:6" x14ac:dyDescent="0.2">
      <c r="A2613">
        <v>87812813</v>
      </c>
      <c r="B2613">
        <v>2019</v>
      </c>
      <c r="C2613">
        <v>22.079070496317399</v>
      </c>
      <c r="D2613" t="s">
        <v>797</v>
      </c>
      <c r="E2613"/>
      <c r="F2613" t="s">
        <v>230</v>
      </c>
    </row>
    <row r="2614" spans="1:6" x14ac:dyDescent="0.2">
      <c r="A2614">
        <v>87812813</v>
      </c>
      <c r="B2614">
        <v>2018</v>
      </c>
      <c r="C2614">
        <v>29.9106621511153</v>
      </c>
      <c r="D2614" t="s">
        <v>797</v>
      </c>
      <c r="E2614"/>
      <c r="F2614" t="s">
        <v>230</v>
      </c>
    </row>
    <row r="2615" spans="1:6" x14ac:dyDescent="0.2">
      <c r="A2615">
        <v>87812813</v>
      </c>
      <c r="B2615">
        <v>2016</v>
      </c>
      <c r="C2615">
        <v>14.540053732924701</v>
      </c>
      <c r="D2615" t="s">
        <v>797</v>
      </c>
      <c r="E2615"/>
      <c r="F2615" t="s">
        <v>230</v>
      </c>
    </row>
    <row r="2616" spans="1:6" x14ac:dyDescent="0.2">
      <c r="A2616">
        <v>87812813</v>
      </c>
      <c r="B2616">
        <v>2014</v>
      </c>
      <c r="C2616">
        <v>18.0977003673969</v>
      </c>
      <c r="D2616" t="s">
        <v>797</v>
      </c>
      <c r="E2616"/>
      <c r="F2616" t="s">
        <v>230</v>
      </c>
    </row>
    <row r="2617" spans="1:6" x14ac:dyDescent="0.2">
      <c r="A2617">
        <v>23008014</v>
      </c>
      <c r="B2617">
        <v>2020</v>
      </c>
      <c r="C2617">
        <v>68.75</v>
      </c>
      <c r="D2617" t="s">
        <v>1075</v>
      </c>
      <c r="E2617" t="s">
        <v>836</v>
      </c>
      <c r="F2617" t="s">
        <v>1126</v>
      </c>
    </row>
    <row r="2618" spans="1:6" x14ac:dyDescent="0.2">
      <c r="A2618">
        <v>13694533</v>
      </c>
      <c r="B2618">
        <v>2020</v>
      </c>
      <c r="C2618">
        <v>45.402745049965702</v>
      </c>
      <c r="D2618" t="s">
        <v>673</v>
      </c>
      <c r="E2618" t="s">
        <v>18</v>
      </c>
      <c r="F2618" t="s">
        <v>19</v>
      </c>
    </row>
    <row r="2619" spans="1:6" x14ac:dyDescent="0.2">
      <c r="A2619">
        <v>13694533</v>
      </c>
      <c r="B2619">
        <v>2019</v>
      </c>
      <c r="C2619">
        <v>40.128918099090001</v>
      </c>
      <c r="D2619" t="s">
        <v>673</v>
      </c>
      <c r="E2619" t="s">
        <v>18</v>
      </c>
      <c r="F2619" t="s">
        <v>19</v>
      </c>
    </row>
    <row r="2620" spans="1:6" x14ac:dyDescent="0.2">
      <c r="A2620">
        <v>13694533</v>
      </c>
      <c r="B2620">
        <v>2018</v>
      </c>
      <c r="C2620">
        <v>45.711335129072602</v>
      </c>
      <c r="D2620" t="s">
        <v>673</v>
      </c>
      <c r="E2620" t="s">
        <v>18</v>
      </c>
      <c r="F2620" t="s">
        <v>19</v>
      </c>
    </row>
    <row r="2621" spans="1:6" x14ac:dyDescent="0.2">
      <c r="A2621">
        <v>13694533</v>
      </c>
      <c r="B2621">
        <v>2017</v>
      </c>
      <c r="C2621">
        <v>33.9258409785933</v>
      </c>
      <c r="D2621" t="s">
        <v>673</v>
      </c>
      <c r="E2621" t="s">
        <v>18</v>
      </c>
      <c r="F2621" t="s">
        <v>19</v>
      </c>
    </row>
    <row r="2622" spans="1:6" x14ac:dyDescent="0.2">
      <c r="A2622">
        <v>13694533</v>
      </c>
      <c r="B2622">
        <v>2016</v>
      </c>
      <c r="C2622">
        <v>32.828650458581997</v>
      </c>
      <c r="D2622" t="s">
        <v>673</v>
      </c>
      <c r="E2622" t="s">
        <v>18</v>
      </c>
      <c r="F2622" t="s">
        <v>19</v>
      </c>
    </row>
    <row r="2623" spans="1:6" x14ac:dyDescent="0.2">
      <c r="A2623">
        <v>13694533</v>
      </c>
      <c r="B2623">
        <v>2015</v>
      </c>
      <c r="C2623">
        <v>33.161068044788998</v>
      </c>
      <c r="D2623" t="s">
        <v>673</v>
      </c>
      <c r="E2623" t="s">
        <v>18</v>
      </c>
      <c r="F2623" t="s">
        <v>19</v>
      </c>
    </row>
    <row r="2624" spans="1:6" x14ac:dyDescent="0.2">
      <c r="A2624">
        <v>13694533</v>
      </c>
      <c r="B2624">
        <v>2013</v>
      </c>
      <c r="C2624">
        <v>41.792929292929301</v>
      </c>
      <c r="D2624" t="s">
        <v>673</v>
      </c>
      <c r="E2624" t="s">
        <v>18</v>
      </c>
      <c r="F2624" t="s">
        <v>19</v>
      </c>
    </row>
    <row r="2625" spans="1:6" x14ac:dyDescent="0.2">
      <c r="A2625">
        <v>68243433</v>
      </c>
      <c r="B2625">
        <v>2019</v>
      </c>
      <c r="C2625">
        <v>31.329209170665202</v>
      </c>
      <c r="D2625" t="s">
        <v>87</v>
      </c>
      <c r="E2625" t="s">
        <v>88</v>
      </c>
      <c r="F2625" t="s">
        <v>49</v>
      </c>
    </row>
    <row r="2626" spans="1:6" x14ac:dyDescent="0.2">
      <c r="A2626">
        <v>68243433</v>
      </c>
      <c r="B2626">
        <v>2016</v>
      </c>
      <c r="C2626">
        <v>32.693835849699198</v>
      </c>
      <c r="D2626" t="s">
        <v>87</v>
      </c>
      <c r="E2626" t="s">
        <v>88</v>
      </c>
      <c r="F2626" t="s">
        <v>49</v>
      </c>
    </row>
    <row r="2627" spans="1:6" x14ac:dyDescent="0.2">
      <c r="A2627">
        <v>68243433</v>
      </c>
      <c r="B2627">
        <v>2013</v>
      </c>
      <c r="C2627">
        <v>33.3333333333333</v>
      </c>
      <c r="D2627" t="s">
        <v>87</v>
      </c>
      <c r="E2627" t="s">
        <v>88</v>
      </c>
      <c r="F2627" t="s">
        <v>49</v>
      </c>
    </row>
    <row r="2628" spans="1:6" x14ac:dyDescent="0.2">
      <c r="A2628">
        <v>32677352</v>
      </c>
      <c r="B2628">
        <v>2019</v>
      </c>
      <c r="C2628">
        <v>29.382793436163801</v>
      </c>
      <c r="D2628" t="s">
        <v>313</v>
      </c>
      <c r="E2628" t="s">
        <v>276</v>
      </c>
      <c r="F2628" t="s">
        <v>49</v>
      </c>
    </row>
    <row r="2629" spans="1:6" x14ac:dyDescent="0.2">
      <c r="A2629">
        <v>32677352</v>
      </c>
      <c r="B2629">
        <v>2017</v>
      </c>
      <c r="C2629">
        <v>31.721152410807601</v>
      </c>
      <c r="D2629" t="s">
        <v>313</v>
      </c>
      <c r="E2629" t="s">
        <v>276</v>
      </c>
      <c r="F2629" t="s">
        <v>49</v>
      </c>
    </row>
    <row r="2630" spans="1:6" x14ac:dyDescent="0.2">
      <c r="A2630">
        <v>32677352</v>
      </c>
      <c r="B2630">
        <v>2016</v>
      </c>
      <c r="C2630">
        <v>30.196390055624899</v>
      </c>
      <c r="D2630" t="s">
        <v>313</v>
      </c>
      <c r="E2630" t="s">
        <v>276</v>
      </c>
      <c r="F2630" t="s">
        <v>49</v>
      </c>
    </row>
    <row r="2631" spans="1:6" x14ac:dyDescent="0.2">
      <c r="A2631">
        <v>78141332</v>
      </c>
      <c r="B2631">
        <v>2020</v>
      </c>
      <c r="C2631">
        <v>54.276788239249903</v>
      </c>
      <c r="D2631" t="s">
        <v>512</v>
      </c>
      <c r="E2631" t="s">
        <v>513</v>
      </c>
      <c r="F2631" t="s">
        <v>191</v>
      </c>
    </row>
    <row r="2632" spans="1:6" x14ac:dyDescent="0.2">
      <c r="A2632">
        <v>78141332</v>
      </c>
      <c r="B2632">
        <v>2019</v>
      </c>
      <c r="C2632">
        <v>43.374599834336998</v>
      </c>
      <c r="D2632" t="s">
        <v>512</v>
      </c>
      <c r="E2632" t="s">
        <v>513</v>
      </c>
      <c r="F2632" t="s">
        <v>191</v>
      </c>
    </row>
    <row r="2633" spans="1:6" x14ac:dyDescent="0.2">
      <c r="A2633">
        <v>78141332</v>
      </c>
      <c r="B2633">
        <v>2018</v>
      </c>
      <c r="C2633">
        <v>67.566440332994105</v>
      </c>
      <c r="D2633" t="s">
        <v>512</v>
      </c>
      <c r="E2633" t="s">
        <v>513</v>
      </c>
      <c r="F2633" t="s">
        <v>191</v>
      </c>
    </row>
    <row r="2634" spans="1:6" x14ac:dyDescent="0.2">
      <c r="A2634">
        <v>78141332</v>
      </c>
      <c r="B2634">
        <v>2016</v>
      </c>
      <c r="C2634">
        <v>34.907480985355903</v>
      </c>
      <c r="D2634" t="s">
        <v>512</v>
      </c>
      <c r="E2634" t="s">
        <v>513</v>
      </c>
      <c r="F2634" t="s">
        <v>191</v>
      </c>
    </row>
    <row r="2635" spans="1:6" x14ac:dyDescent="0.2">
      <c r="A2635">
        <v>78141332</v>
      </c>
      <c r="B2635">
        <v>2015</v>
      </c>
      <c r="C2635">
        <v>34.608378870674002</v>
      </c>
      <c r="D2635" t="s">
        <v>512</v>
      </c>
      <c r="E2635" t="s">
        <v>513</v>
      </c>
      <c r="F2635" t="s">
        <v>191</v>
      </c>
    </row>
    <row r="2636" spans="1:6" x14ac:dyDescent="0.2">
      <c r="A2636">
        <v>46506938</v>
      </c>
      <c r="B2636">
        <v>2019</v>
      </c>
      <c r="C2636">
        <v>75.8</v>
      </c>
      <c r="D2636" t="s">
        <v>798</v>
      </c>
      <c r="E2636" t="s">
        <v>5</v>
      </c>
      <c r="F2636" t="s">
        <v>1126</v>
      </c>
    </row>
    <row r="2637" spans="1:6" x14ac:dyDescent="0.2">
      <c r="A2637">
        <v>73790211</v>
      </c>
      <c r="B2637">
        <v>2020</v>
      </c>
      <c r="C2637">
        <v>46.427619047618997</v>
      </c>
      <c r="D2637" t="s">
        <v>359</v>
      </c>
      <c r="E2637" t="s">
        <v>360</v>
      </c>
      <c r="F2637" t="s">
        <v>361</v>
      </c>
    </row>
    <row r="2638" spans="1:6" x14ac:dyDescent="0.2">
      <c r="A2638">
        <v>73790211</v>
      </c>
      <c r="B2638">
        <v>2019</v>
      </c>
      <c r="C2638">
        <v>46.276086956521702</v>
      </c>
      <c r="D2638" t="s">
        <v>359</v>
      </c>
      <c r="E2638" t="s">
        <v>360</v>
      </c>
      <c r="F2638" t="s">
        <v>361</v>
      </c>
    </row>
    <row r="2639" spans="1:6" x14ac:dyDescent="0.2">
      <c r="A2639">
        <v>73790211</v>
      </c>
      <c r="B2639">
        <v>2018</v>
      </c>
      <c r="C2639">
        <v>55.153846153846203</v>
      </c>
      <c r="D2639" t="s">
        <v>359</v>
      </c>
      <c r="E2639" t="s">
        <v>360</v>
      </c>
      <c r="F2639" t="s">
        <v>361</v>
      </c>
    </row>
    <row r="2640" spans="1:6" x14ac:dyDescent="0.2">
      <c r="A2640">
        <v>73790211</v>
      </c>
      <c r="B2640">
        <v>2017</v>
      </c>
      <c r="C2640">
        <v>46.478260869565197</v>
      </c>
      <c r="D2640" t="s">
        <v>359</v>
      </c>
      <c r="E2640" t="s">
        <v>360</v>
      </c>
      <c r="F2640" t="s">
        <v>361</v>
      </c>
    </row>
    <row r="2641" spans="1:6" x14ac:dyDescent="0.2">
      <c r="A2641">
        <v>73790211</v>
      </c>
      <c r="B2641">
        <v>2016</v>
      </c>
      <c r="C2641">
        <v>39.369158189591602</v>
      </c>
      <c r="D2641" t="s">
        <v>359</v>
      </c>
      <c r="E2641" t="s">
        <v>360</v>
      </c>
      <c r="F2641" t="s">
        <v>361</v>
      </c>
    </row>
    <row r="2642" spans="1:6" x14ac:dyDescent="0.2">
      <c r="A2642">
        <v>73790211</v>
      </c>
      <c r="B2642">
        <v>2015</v>
      </c>
      <c r="C2642">
        <v>42.594999999999999</v>
      </c>
      <c r="D2642" t="s">
        <v>359</v>
      </c>
      <c r="E2642" t="s">
        <v>360</v>
      </c>
      <c r="F2642" t="s">
        <v>361</v>
      </c>
    </row>
    <row r="2643" spans="1:6" x14ac:dyDescent="0.2">
      <c r="A2643">
        <v>73790211</v>
      </c>
      <c r="B2643">
        <v>2014</v>
      </c>
      <c r="C2643">
        <v>34.991666666666703</v>
      </c>
      <c r="D2643" t="s">
        <v>359</v>
      </c>
      <c r="E2643" t="s">
        <v>360</v>
      </c>
      <c r="F2643" t="s">
        <v>361</v>
      </c>
    </row>
    <row r="2644" spans="1:6" x14ac:dyDescent="0.2">
      <c r="A2644">
        <v>73790211</v>
      </c>
      <c r="B2644">
        <v>2013</v>
      </c>
      <c r="C2644">
        <v>38.996666666666698</v>
      </c>
      <c r="D2644" t="s">
        <v>359</v>
      </c>
      <c r="E2644" t="s">
        <v>360</v>
      </c>
      <c r="F2644" t="s">
        <v>361</v>
      </c>
    </row>
    <row r="2645" spans="1:6" x14ac:dyDescent="0.2">
      <c r="A2645">
        <v>73790211</v>
      </c>
      <c r="B2645">
        <v>2012</v>
      </c>
      <c r="C2645">
        <v>40</v>
      </c>
      <c r="D2645" t="s">
        <v>359</v>
      </c>
      <c r="E2645" t="s">
        <v>360</v>
      </c>
      <c r="F2645" t="s">
        <v>361</v>
      </c>
    </row>
    <row r="2646" spans="1:6" x14ac:dyDescent="0.2">
      <c r="A2646">
        <v>73790211</v>
      </c>
      <c r="B2646">
        <v>2011</v>
      </c>
      <c r="C2646">
        <v>34.99</v>
      </c>
      <c r="D2646" t="s">
        <v>359</v>
      </c>
      <c r="E2646" t="s">
        <v>360</v>
      </c>
      <c r="F2646" t="s">
        <v>361</v>
      </c>
    </row>
    <row r="2647" spans="1:6" x14ac:dyDescent="0.2">
      <c r="A2647">
        <v>31241228</v>
      </c>
      <c r="B2647">
        <v>2020</v>
      </c>
      <c r="C2647">
        <v>48.988280667220401</v>
      </c>
      <c r="D2647" t="s">
        <v>1000</v>
      </c>
      <c r="E2647" t="s">
        <v>1001</v>
      </c>
      <c r="F2647" t="s">
        <v>990</v>
      </c>
    </row>
    <row r="2648" spans="1:6" x14ac:dyDescent="0.2">
      <c r="A2648">
        <v>31241228</v>
      </c>
      <c r="B2648">
        <v>2019</v>
      </c>
      <c r="C2648">
        <v>45.7532069220265</v>
      </c>
      <c r="D2648" t="s">
        <v>1000</v>
      </c>
      <c r="E2648" t="s">
        <v>1001</v>
      </c>
      <c r="F2648" t="s">
        <v>990</v>
      </c>
    </row>
    <row r="2649" spans="1:6" x14ac:dyDescent="0.2">
      <c r="A2649">
        <v>31241228</v>
      </c>
      <c r="B2649">
        <v>2015</v>
      </c>
      <c r="C2649">
        <v>45.9016393442623</v>
      </c>
      <c r="D2649" t="s">
        <v>1000</v>
      </c>
      <c r="E2649" t="s">
        <v>1001</v>
      </c>
      <c r="F2649" t="s">
        <v>990</v>
      </c>
    </row>
    <row r="2650" spans="1:6" x14ac:dyDescent="0.2">
      <c r="A2650">
        <v>88533698</v>
      </c>
      <c r="B2650">
        <v>2019</v>
      </c>
      <c r="C2650">
        <v>31.912543577366598</v>
      </c>
      <c r="D2650" t="s">
        <v>334</v>
      </c>
      <c r="E2650" t="s">
        <v>335</v>
      </c>
      <c r="F2650" t="s">
        <v>336</v>
      </c>
    </row>
    <row r="2651" spans="1:6" x14ac:dyDescent="0.2">
      <c r="A2651">
        <v>88533698</v>
      </c>
      <c r="B2651">
        <v>2018</v>
      </c>
      <c r="C2651">
        <v>27.785216925549001</v>
      </c>
      <c r="D2651" t="s">
        <v>334</v>
      </c>
      <c r="E2651" t="s">
        <v>335</v>
      </c>
      <c r="F2651" t="s">
        <v>336</v>
      </c>
    </row>
    <row r="2652" spans="1:6" x14ac:dyDescent="0.2">
      <c r="A2652">
        <v>88533698</v>
      </c>
      <c r="B2652">
        <v>2017</v>
      </c>
      <c r="C2652">
        <v>33.734619221815798</v>
      </c>
      <c r="D2652" t="s">
        <v>334</v>
      </c>
      <c r="E2652" t="s">
        <v>335</v>
      </c>
      <c r="F2652" t="s">
        <v>336</v>
      </c>
    </row>
    <row r="2653" spans="1:6" x14ac:dyDescent="0.2">
      <c r="A2653">
        <v>56723547</v>
      </c>
      <c r="B2653">
        <v>2020</v>
      </c>
      <c r="C2653">
        <v>29.1234156598188</v>
      </c>
      <c r="D2653" t="s">
        <v>26</v>
      </c>
      <c r="E2653" t="s">
        <v>27</v>
      </c>
      <c r="F2653" t="s">
        <v>28</v>
      </c>
    </row>
    <row r="2654" spans="1:6" x14ac:dyDescent="0.2">
      <c r="A2654">
        <v>56723547</v>
      </c>
      <c r="B2654">
        <v>2019</v>
      </c>
      <c r="C2654">
        <v>32.109051484905002</v>
      </c>
      <c r="D2654" t="s">
        <v>26</v>
      </c>
      <c r="E2654" t="s">
        <v>27</v>
      </c>
      <c r="F2654" t="s">
        <v>28</v>
      </c>
    </row>
    <row r="2655" spans="1:6" x14ac:dyDescent="0.2">
      <c r="A2655">
        <v>56723547</v>
      </c>
      <c r="B2655">
        <v>2018</v>
      </c>
      <c r="C2655">
        <v>32.994469878502898</v>
      </c>
      <c r="D2655" t="s">
        <v>26</v>
      </c>
      <c r="E2655" t="s">
        <v>27</v>
      </c>
      <c r="F2655" t="s">
        <v>28</v>
      </c>
    </row>
    <row r="2656" spans="1:6" x14ac:dyDescent="0.2">
      <c r="A2656">
        <v>56723547</v>
      </c>
      <c r="B2656">
        <v>2017</v>
      </c>
      <c r="C2656">
        <v>29.171771624601799</v>
      </c>
      <c r="D2656" t="s">
        <v>26</v>
      </c>
      <c r="E2656" t="s">
        <v>27</v>
      </c>
      <c r="F2656" t="s">
        <v>28</v>
      </c>
    </row>
    <row r="2657" spans="1:6" x14ac:dyDescent="0.2">
      <c r="A2657">
        <v>56723547</v>
      </c>
      <c r="B2657">
        <v>2016</v>
      </c>
      <c r="C2657">
        <v>30.287206266318499</v>
      </c>
      <c r="D2657" t="s">
        <v>26</v>
      </c>
      <c r="E2657" t="s">
        <v>27</v>
      </c>
      <c r="F2657" t="s">
        <v>28</v>
      </c>
    </row>
    <row r="2658" spans="1:6" x14ac:dyDescent="0.2">
      <c r="A2658">
        <v>56723547</v>
      </c>
      <c r="B2658">
        <v>2015</v>
      </c>
      <c r="C2658">
        <v>30.453655015980999</v>
      </c>
      <c r="D2658" t="s">
        <v>26</v>
      </c>
      <c r="E2658" t="s">
        <v>27</v>
      </c>
      <c r="F2658" t="s">
        <v>28</v>
      </c>
    </row>
    <row r="2659" spans="1:6" x14ac:dyDescent="0.2">
      <c r="A2659">
        <v>56723547</v>
      </c>
      <c r="B2659">
        <v>2014</v>
      </c>
      <c r="C2659">
        <v>37.806790755634502</v>
      </c>
      <c r="D2659" t="s">
        <v>26</v>
      </c>
      <c r="E2659" t="s">
        <v>27</v>
      </c>
      <c r="F2659" t="s">
        <v>28</v>
      </c>
    </row>
    <row r="2660" spans="1:6" x14ac:dyDescent="0.2">
      <c r="A2660">
        <v>56723547</v>
      </c>
      <c r="B2660">
        <v>2013</v>
      </c>
      <c r="C2660">
        <v>37.425029515938597</v>
      </c>
      <c r="D2660" t="s">
        <v>26</v>
      </c>
      <c r="E2660" t="s">
        <v>27</v>
      </c>
      <c r="F2660" t="s">
        <v>28</v>
      </c>
    </row>
    <row r="2661" spans="1:6" x14ac:dyDescent="0.2">
      <c r="A2661">
        <v>56723547</v>
      </c>
      <c r="B2661">
        <v>2012</v>
      </c>
      <c r="C2661">
        <v>37.035914702581401</v>
      </c>
      <c r="D2661" t="s">
        <v>26</v>
      </c>
      <c r="E2661" t="s">
        <v>27</v>
      </c>
      <c r="F2661" t="s">
        <v>28</v>
      </c>
    </row>
    <row r="2662" spans="1:6" x14ac:dyDescent="0.2">
      <c r="A2662">
        <v>56723547</v>
      </c>
      <c r="B2662">
        <v>2011</v>
      </c>
      <c r="C2662">
        <v>42.751811594202898</v>
      </c>
      <c r="D2662" t="s">
        <v>26</v>
      </c>
      <c r="E2662" t="s">
        <v>27</v>
      </c>
      <c r="F2662" t="s">
        <v>28</v>
      </c>
    </row>
    <row r="2663" spans="1:6" x14ac:dyDescent="0.2">
      <c r="A2663">
        <v>56723547</v>
      </c>
      <c r="B2663">
        <v>2010</v>
      </c>
      <c r="C2663">
        <v>37.037037037037003</v>
      </c>
      <c r="D2663" t="s">
        <v>26</v>
      </c>
      <c r="E2663" t="s">
        <v>27</v>
      </c>
      <c r="F2663" t="s">
        <v>28</v>
      </c>
    </row>
    <row r="2664" spans="1:6" x14ac:dyDescent="0.2">
      <c r="A2664">
        <v>45734770</v>
      </c>
      <c r="B2664">
        <v>2019</v>
      </c>
      <c r="C2664">
        <v>34.513122448827303</v>
      </c>
      <c r="D2664" t="s">
        <v>314</v>
      </c>
      <c r="E2664" t="s">
        <v>48</v>
      </c>
      <c r="F2664" t="s">
        <v>49</v>
      </c>
    </row>
    <row r="2665" spans="1:6" x14ac:dyDescent="0.2">
      <c r="A2665">
        <v>45734770</v>
      </c>
      <c r="B2665">
        <v>2018</v>
      </c>
      <c r="C2665">
        <v>33.366143374318099</v>
      </c>
      <c r="D2665" t="s">
        <v>314</v>
      </c>
      <c r="E2665" t="s">
        <v>48</v>
      </c>
      <c r="F2665" t="s">
        <v>49</v>
      </c>
    </row>
    <row r="2666" spans="1:6" x14ac:dyDescent="0.2">
      <c r="A2666">
        <v>45734770</v>
      </c>
      <c r="B2666">
        <v>2016</v>
      </c>
      <c r="C2666">
        <v>29.677440280232901</v>
      </c>
      <c r="D2666" t="s">
        <v>314</v>
      </c>
      <c r="E2666" t="s">
        <v>48</v>
      </c>
      <c r="F2666" t="s">
        <v>49</v>
      </c>
    </row>
    <row r="2667" spans="1:6" x14ac:dyDescent="0.2">
      <c r="A2667">
        <v>62101120</v>
      </c>
      <c r="B2667">
        <v>2020</v>
      </c>
      <c r="C2667">
        <v>12.9844255037283</v>
      </c>
      <c r="D2667" t="s">
        <v>878</v>
      </c>
      <c r="E2667" t="s">
        <v>879</v>
      </c>
      <c r="F2667" t="s">
        <v>137</v>
      </c>
    </row>
    <row r="2668" spans="1:6" x14ac:dyDescent="0.2">
      <c r="A2668">
        <v>62101120</v>
      </c>
      <c r="B2668">
        <v>2019</v>
      </c>
      <c r="C2668">
        <v>12.571986208541899</v>
      </c>
      <c r="D2668" t="s">
        <v>878</v>
      </c>
      <c r="E2668" t="s">
        <v>879</v>
      </c>
      <c r="F2668" t="s">
        <v>137</v>
      </c>
    </row>
    <row r="2669" spans="1:6" x14ac:dyDescent="0.2">
      <c r="A2669">
        <v>42766984</v>
      </c>
      <c r="B2669">
        <v>2018</v>
      </c>
      <c r="C2669">
        <v>31.385028611467899</v>
      </c>
      <c r="D2669" t="s">
        <v>933</v>
      </c>
      <c r="E2669" t="s">
        <v>934</v>
      </c>
      <c r="F2669" t="s">
        <v>198</v>
      </c>
    </row>
    <row r="2670" spans="1:6" x14ac:dyDescent="0.2">
      <c r="A2670">
        <v>42766984</v>
      </c>
      <c r="B2670">
        <v>2017</v>
      </c>
      <c r="C2670">
        <v>23.958799820868801</v>
      </c>
      <c r="D2670" t="s">
        <v>933</v>
      </c>
      <c r="E2670" t="s">
        <v>934</v>
      </c>
      <c r="F2670" t="s">
        <v>198</v>
      </c>
    </row>
    <row r="2671" spans="1:6" x14ac:dyDescent="0.2">
      <c r="A2671">
        <v>42766984</v>
      </c>
      <c r="B2671">
        <v>2016</v>
      </c>
      <c r="C2671">
        <v>22.855413024558199</v>
      </c>
      <c r="D2671" t="s">
        <v>933</v>
      </c>
      <c r="E2671" t="s">
        <v>934</v>
      </c>
      <c r="F2671" t="s">
        <v>198</v>
      </c>
    </row>
    <row r="2672" spans="1:6" x14ac:dyDescent="0.2">
      <c r="A2672">
        <v>42766984</v>
      </c>
      <c r="B2672">
        <v>2015</v>
      </c>
      <c r="C2672">
        <v>20.355191256830601</v>
      </c>
      <c r="D2672" t="s">
        <v>933</v>
      </c>
      <c r="E2672" t="s">
        <v>934</v>
      </c>
      <c r="F2672" t="s">
        <v>198</v>
      </c>
    </row>
    <row r="2673" spans="1:6" x14ac:dyDescent="0.2">
      <c r="A2673">
        <v>43637211</v>
      </c>
      <c r="B2673">
        <v>2020</v>
      </c>
      <c r="C2673">
        <v>22.151593324662699</v>
      </c>
      <c r="D2673" t="s">
        <v>982</v>
      </c>
      <c r="E2673" t="s">
        <v>983</v>
      </c>
      <c r="F2673" t="s">
        <v>261</v>
      </c>
    </row>
    <row r="2674" spans="1:6" x14ac:dyDescent="0.2">
      <c r="A2674">
        <v>43637211</v>
      </c>
      <c r="B2674">
        <v>2019</v>
      </c>
      <c r="C2674">
        <v>24.2023625481288</v>
      </c>
      <c r="D2674" t="s">
        <v>982</v>
      </c>
      <c r="E2674" t="s">
        <v>983</v>
      </c>
      <c r="F2674" t="s">
        <v>261</v>
      </c>
    </row>
    <row r="2675" spans="1:6" x14ac:dyDescent="0.2">
      <c r="A2675">
        <v>43637211</v>
      </c>
      <c r="B2675">
        <v>2018</v>
      </c>
      <c r="C2675">
        <v>19.577874818049501</v>
      </c>
      <c r="D2675" t="s">
        <v>982</v>
      </c>
      <c r="E2675" t="s">
        <v>983</v>
      </c>
      <c r="F2675" t="s">
        <v>261</v>
      </c>
    </row>
    <row r="2676" spans="1:6" x14ac:dyDescent="0.2">
      <c r="A2676">
        <v>43637211</v>
      </c>
      <c r="B2676">
        <v>2017</v>
      </c>
      <c r="C2676">
        <v>19.1365090546212</v>
      </c>
      <c r="D2676" t="s">
        <v>982</v>
      </c>
      <c r="E2676" t="s">
        <v>983</v>
      </c>
      <c r="F2676" t="s">
        <v>261</v>
      </c>
    </row>
    <row r="2677" spans="1:6" x14ac:dyDescent="0.2">
      <c r="A2677">
        <v>43637211</v>
      </c>
      <c r="B2677">
        <v>2016</v>
      </c>
      <c r="C2677">
        <v>19.187273619704101</v>
      </c>
      <c r="D2677" t="s">
        <v>982</v>
      </c>
      <c r="E2677" t="s">
        <v>983</v>
      </c>
      <c r="F2677" t="s">
        <v>261</v>
      </c>
    </row>
    <row r="2678" spans="1:6" x14ac:dyDescent="0.2">
      <c r="A2678">
        <v>43637211</v>
      </c>
      <c r="B2678">
        <v>2015</v>
      </c>
      <c r="C2678">
        <v>18.133728834507501</v>
      </c>
      <c r="D2678" t="s">
        <v>982</v>
      </c>
      <c r="E2678" t="s">
        <v>983</v>
      </c>
      <c r="F2678" t="s">
        <v>261</v>
      </c>
    </row>
    <row r="2679" spans="1:6" x14ac:dyDescent="0.2">
      <c r="A2679">
        <v>43637211</v>
      </c>
      <c r="B2679">
        <v>2014</v>
      </c>
      <c r="C2679">
        <v>20.439405410171499</v>
      </c>
      <c r="D2679" t="s">
        <v>982</v>
      </c>
      <c r="E2679" t="s">
        <v>983</v>
      </c>
      <c r="F2679" t="s">
        <v>261</v>
      </c>
    </row>
    <row r="2680" spans="1:6" x14ac:dyDescent="0.2">
      <c r="A2680">
        <v>43637211</v>
      </c>
      <c r="B2680">
        <v>2013</v>
      </c>
      <c r="C2680">
        <v>21.649252892933401</v>
      </c>
      <c r="D2680" t="s">
        <v>982</v>
      </c>
      <c r="E2680" t="s">
        <v>983</v>
      </c>
      <c r="F2680" t="s">
        <v>261</v>
      </c>
    </row>
    <row r="2681" spans="1:6" x14ac:dyDescent="0.2">
      <c r="A2681">
        <v>43637211</v>
      </c>
      <c r="B2681">
        <v>2012</v>
      </c>
      <c r="C2681">
        <v>22.254377686903599</v>
      </c>
      <c r="D2681" t="s">
        <v>982</v>
      </c>
      <c r="E2681" t="s">
        <v>983</v>
      </c>
      <c r="F2681" t="s">
        <v>261</v>
      </c>
    </row>
    <row r="2682" spans="1:6" x14ac:dyDescent="0.2">
      <c r="A2682">
        <v>78334224</v>
      </c>
      <c r="B2682">
        <v>2019</v>
      </c>
      <c r="C2682">
        <v>66.5</v>
      </c>
      <c r="D2682" t="s">
        <v>1067</v>
      </c>
      <c r="E2682" t="s">
        <v>494</v>
      </c>
      <c r="F2682" t="s">
        <v>1126</v>
      </c>
    </row>
    <row r="2683" spans="1:6" x14ac:dyDescent="0.2">
      <c r="A2683">
        <v>78334224</v>
      </c>
      <c r="B2683">
        <v>2018</v>
      </c>
      <c r="C2683">
        <v>71.998000000000005</v>
      </c>
      <c r="D2683" t="s">
        <v>1067</v>
      </c>
      <c r="E2683" t="s">
        <v>494</v>
      </c>
      <c r="F2683" t="s">
        <v>1126</v>
      </c>
    </row>
    <row r="2684" spans="1:6" x14ac:dyDescent="0.2">
      <c r="A2684">
        <v>78334224</v>
      </c>
      <c r="B2684">
        <v>2016</v>
      </c>
      <c r="C2684">
        <v>55.65</v>
      </c>
      <c r="D2684" t="s">
        <v>1067</v>
      </c>
      <c r="E2684" t="s">
        <v>494</v>
      </c>
      <c r="F2684" t="s">
        <v>1126</v>
      </c>
    </row>
    <row r="2685" spans="1:6" x14ac:dyDescent="0.2">
      <c r="A2685">
        <v>78334224</v>
      </c>
      <c r="B2685">
        <v>2015</v>
      </c>
      <c r="C2685">
        <v>54.987499999999997</v>
      </c>
      <c r="D2685" t="s">
        <v>1067</v>
      </c>
      <c r="E2685" t="s">
        <v>494</v>
      </c>
      <c r="F2685" t="s">
        <v>1126</v>
      </c>
    </row>
    <row r="2686" spans="1:6" x14ac:dyDescent="0.2">
      <c r="A2686">
        <v>43368240</v>
      </c>
      <c r="B2686">
        <v>2020</v>
      </c>
      <c r="C2686">
        <v>8.3747557065941791</v>
      </c>
      <c r="D2686" t="s">
        <v>114</v>
      </c>
      <c r="E2686" t="s">
        <v>115</v>
      </c>
      <c r="F2686" t="s">
        <v>94</v>
      </c>
    </row>
    <row r="2687" spans="1:6" x14ac:dyDescent="0.2">
      <c r="A2687">
        <v>43368240</v>
      </c>
      <c r="B2687">
        <v>2019</v>
      </c>
      <c r="C2687">
        <v>8.8846824567726994</v>
      </c>
      <c r="D2687" t="s">
        <v>114</v>
      </c>
      <c r="E2687" t="s">
        <v>115</v>
      </c>
      <c r="F2687" t="s">
        <v>94</v>
      </c>
    </row>
    <row r="2688" spans="1:6" x14ac:dyDescent="0.2">
      <c r="A2688">
        <v>43368240</v>
      </c>
      <c r="B2688">
        <v>2018</v>
      </c>
      <c r="C2688">
        <v>8.7514977695390392</v>
      </c>
      <c r="D2688" t="s">
        <v>114</v>
      </c>
      <c r="E2688" t="s">
        <v>115</v>
      </c>
      <c r="F2688" t="s">
        <v>94</v>
      </c>
    </row>
    <row r="2689" spans="1:6" x14ac:dyDescent="0.2">
      <c r="A2689">
        <v>14644090</v>
      </c>
      <c r="B2689">
        <v>2020</v>
      </c>
      <c r="C2689">
        <v>48.589321913386001</v>
      </c>
      <c r="D2689" t="s">
        <v>351</v>
      </c>
      <c r="E2689" t="s">
        <v>352</v>
      </c>
      <c r="F2689" t="s">
        <v>348</v>
      </c>
    </row>
    <row r="2690" spans="1:6" x14ac:dyDescent="0.2">
      <c r="A2690">
        <v>14644090</v>
      </c>
      <c r="B2690">
        <v>2019</v>
      </c>
      <c r="C2690">
        <v>49.050768190869398</v>
      </c>
      <c r="D2690" t="s">
        <v>351</v>
      </c>
      <c r="E2690" t="s">
        <v>352</v>
      </c>
      <c r="F2690" t="s">
        <v>348</v>
      </c>
    </row>
    <row r="2691" spans="1:6" x14ac:dyDescent="0.2">
      <c r="A2691">
        <v>14644090</v>
      </c>
      <c r="B2691">
        <v>2018</v>
      </c>
      <c r="C2691">
        <v>54.915548667572601</v>
      </c>
      <c r="D2691" t="s">
        <v>351</v>
      </c>
      <c r="E2691" t="s">
        <v>352</v>
      </c>
      <c r="F2691" t="s">
        <v>348</v>
      </c>
    </row>
    <row r="2692" spans="1:6" x14ac:dyDescent="0.2">
      <c r="A2692">
        <v>14644090</v>
      </c>
      <c r="B2692">
        <v>2017</v>
      </c>
      <c r="C2692">
        <v>56.785954001860702</v>
      </c>
      <c r="D2692" t="s">
        <v>351</v>
      </c>
      <c r="E2692" t="s">
        <v>352</v>
      </c>
      <c r="F2692" t="s">
        <v>348</v>
      </c>
    </row>
    <row r="2693" spans="1:6" x14ac:dyDescent="0.2">
      <c r="A2693">
        <v>14644090</v>
      </c>
      <c r="B2693">
        <v>2016</v>
      </c>
      <c r="C2693">
        <v>54.247391952309997</v>
      </c>
      <c r="D2693" t="s">
        <v>351</v>
      </c>
      <c r="E2693" t="s">
        <v>352</v>
      </c>
      <c r="F2693" t="s">
        <v>348</v>
      </c>
    </row>
    <row r="2694" spans="1:6" x14ac:dyDescent="0.2">
      <c r="A2694">
        <v>14644090</v>
      </c>
      <c r="B2694">
        <v>2015</v>
      </c>
      <c r="C2694">
        <v>56.603978575231103</v>
      </c>
      <c r="D2694" t="s">
        <v>351</v>
      </c>
      <c r="E2694" t="s">
        <v>352</v>
      </c>
      <c r="F2694" t="s">
        <v>348</v>
      </c>
    </row>
    <row r="2695" spans="1:6" x14ac:dyDescent="0.2">
      <c r="A2695">
        <v>14644090</v>
      </c>
      <c r="B2695">
        <v>2014</v>
      </c>
      <c r="C2695">
        <v>71.198586812305194</v>
      </c>
      <c r="D2695" t="s">
        <v>351</v>
      </c>
      <c r="E2695" t="s">
        <v>352</v>
      </c>
      <c r="F2695" t="s">
        <v>348</v>
      </c>
    </row>
    <row r="2696" spans="1:6" x14ac:dyDescent="0.2">
      <c r="A2696">
        <v>14644090</v>
      </c>
      <c r="B2696">
        <v>2013</v>
      </c>
      <c r="C2696">
        <v>69.533653846153797</v>
      </c>
      <c r="D2696" t="s">
        <v>351</v>
      </c>
      <c r="E2696" t="s">
        <v>352</v>
      </c>
      <c r="F2696" t="s">
        <v>348</v>
      </c>
    </row>
    <row r="2697" spans="1:6" x14ac:dyDescent="0.2">
      <c r="A2697">
        <v>14644090</v>
      </c>
      <c r="B2697">
        <v>2012</v>
      </c>
      <c r="C2697">
        <v>66.901147396292998</v>
      </c>
      <c r="D2697" t="s">
        <v>351</v>
      </c>
      <c r="E2697" t="s">
        <v>352</v>
      </c>
      <c r="F2697" t="s">
        <v>348</v>
      </c>
    </row>
    <row r="2698" spans="1:6" x14ac:dyDescent="0.2">
      <c r="A2698">
        <v>14644090</v>
      </c>
      <c r="B2698">
        <v>2011</v>
      </c>
      <c r="C2698">
        <v>63.829787234042598</v>
      </c>
      <c r="D2698" t="s">
        <v>351</v>
      </c>
      <c r="E2698" t="s">
        <v>352</v>
      </c>
      <c r="F2698" t="s">
        <v>348</v>
      </c>
    </row>
    <row r="2699" spans="1:6" x14ac:dyDescent="0.2">
      <c r="A2699">
        <v>14644090</v>
      </c>
      <c r="B2699">
        <v>2010</v>
      </c>
      <c r="C2699">
        <v>56.214689265536698</v>
      </c>
      <c r="D2699" t="s">
        <v>351</v>
      </c>
      <c r="E2699" t="s">
        <v>352</v>
      </c>
      <c r="F2699" t="s">
        <v>348</v>
      </c>
    </row>
    <row r="2700" spans="1:6" x14ac:dyDescent="0.2">
      <c r="A2700">
        <v>31699225</v>
      </c>
      <c r="B2700">
        <v>2020</v>
      </c>
      <c r="C2700">
        <v>21.673585982048401</v>
      </c>
      <c r="D2700" t="s">
        <v>1100</v>
      </c>
      <c r="E2700" t="s">
        <v>1101</v>
      </c>
      <c r="F2700" t="s">
        <v>170</v>
      </c>
    </row>
    <row r="2701" spans="1:6" x14ac:dyDescent="0.2">
      <c r="A2701">
        <v>31699225</v>
      </c>
      <c r="B2701">
        <v>2018</v>
      </c>
      <c r="C2701">
        <v>24.214918820133299</v>
      </c>
      <c r="D2701" t="s">
        <v>1100</v>
      </c>
      <c r="E2701" t="s">
        <v>1101</v>
      </c>
      <c r="F2701" t="s">
        <v>170</v>
      </c>
    </row>
    <row r="2702" spans="1:6" x14ac:dyDescent="0.2">
      <c r="A2702">
        <v>34926011</v>
      </c>
      <c r="B2702">
        <v>2020</v>
      </c>
      <c r="C2702">
        <v>27.729535718420699</v>
      </c>
      <c r="D2702" t="s">
        <v>1091</v>
      </c>
      <c r="E2702" t="s">
        <v>1092</v>
      </c>
      <c r="F2702" t="s">
        <v>263</v>
      </c>
    </row>
    <row r="2703" spans="1:6" x14ac:dyDescent="0.2">
      <c r="A2703">
        <v>34926011</v>
      </c>
      <c r="B2703">
        <v>2019</v>
      </c>
      <c r="C2703">
        <v>29.869148470747302</v>
      </c>
      <c r="D2703" t="s">
        <v>1091</v>
      </c>
      <c r="E2703" t="s">
        <v>1092</v>
      </c>
      <c r="F2703" t="s">
        <v>263</v>
      </c>
    </row>
    <row r="2704" spans="1:6" x14ac:dyDescent="0.2">
      <c r="A2704">
        <v>34926011</v>
      </c>
      <c r="B2704">
        <v>2018</v>
      </c>
      <c r="C2704">
        <v>37.980102383842102</v>
      </c>
      <c r="D2704" t="s">
        <v>1091</v>
      </c>
      <c r="E2704" t="s">
        <v>1092</v>
      </c>
      <c r="F2704" t="s">
        <v>263</v>
      </c>
    </row>
    <row r="2705" spans="1:6" x14ac:dyDescent="0.2">
      <c r="A2705">
        <v>34926011</v>
      </c>
      <c r="B2705">
        <v>2017</v>
      </c>
      <c r="C2705">
        <v>35.451348182883898</v>
      </c>
      <c r="D2705" t="s">
        <v>1091</v>
      </c>
      <c r="E2705" t="s">
        <v>1092</v>
      </c>
      <c r="F2705" t="s">
        <v>263</v>
      </c>
    </row>
    <row r="2706" spans="1:6" x14ac:dyDescent="0.2">
      <c r="A2706">
        <v>34926011</v>
      </c>
      <c r="B2706">
        <v>2016</v>
      </c>
      <c r="C2706">
        <v>38.648773107032397</v>
      </c>
      <c r="D2706" t="s">
        <v>1091</v>
      </c>
      <c r="E2706" t="s">
        <v>1092</v>
      </c>
      <c r="F2706" t="s">
        <v>263</v>
      </c>
    </row>
    <row r="2707" spans="1:6" x14ac:dyDescent="0.2">
      <c r="A2707">
        <v>34926011</v>
      </c>
      <c r="B2707">
        <v>2015</v>
      </c>
      <c r="C2707">
        <v>45.688698147947598</v>
      </c>
      <c r="D2707" t="s">
        <v>1091</v>
      </c>
      <c r="E2707" t="s">
        <v>1092</v>
      </c>
      <c r="F2707" t="s">
        <v>263</v>
      </c>
    </row>
    <row r="2708" spans="1:6" x14ac:dyDescent="0.2">
      <c r="A2708">
        <v>34926011</v>
      </c>
      <c r="B2708">
        <v>2014</v>
      </c>
      <c r="C2708">
        <v>51.412289395441</v>
      </c>
      <c r="D2708" t="s">
        <v>1091</v>
      </c>
      <c r="E2708" t="s">
        <v>1092</v>
      </c>
      <c r="F2708" t="s">
        <v>263</v>
      </c>
    </row>
    <row r="2709" spans="1:6" x14ac:dyDescent="0.2">
      <c r="A2709">
        <v>34926011</v>
      </c>
      <c r="B2709">
        <v>2013</v>
      </c>
      <c r="C2709">
        <v>47.302631578947398</v>
      </c>
      <c r="D2709" t="s">
        <v>1091</v>
      </c>
      <c r="E2709" t="s">
        <v>1092</v>
      </c>
      <c r="F2709" t="s">
        <v>263</v>
      </c>
    </row>
    <row r="2710" spans="1:6" x14ac:dyDescent="0.2">
      <c r="A2710">
        <v>53108711</v>
      </c>
      <c r="B2710">
        <v>2018</v>
      </c>
      <c r="C2710">
        <v>46.816541490994098</v>
      </c>
      <c r="D2710" t="s">
        <v>991</v>
      </c>
      <c r="E2710" t="s">
        <v>18</v>
      </c>
      <c r="F2710" t="s">
        <v>19</v>
      </c>
    </row>
    <row r="2711" spans="1:6" x14ac:dyDescent="0.2">
      <c r="A2711">
        <v>98451032</v>
      </c>
      <c r="B2711">
        <v>2020</v>
      </c>
      <c r="C2711">
        <v>58.470588235294102</v>
      </c>
      <c r="D2711" t="s">
        <v>157</v>
      </c>
      <c r="E2711" t="s">
        <v>156</v>
      </c>
      <c r="F2711" t="s">
        <v>1126</v>
      </c>
    </row>
    <row r="2712" spans="1:6" x14ac:dyDescent="0.2">
      <c r="A2712">
        <v>98451032</v>
      </c>
      <c r="B2712">
        <v>2019</v>
      </c>
      <c r="C2712">
        <v>66.531000000000006</v>
      </c>
      <c r="D2712" t="s">
        <v>157</v>
      </c>
      <c r="E2712" t="s">
        <v>156</v>
      </c>
      <c r="F2712" t="s">
        <v>1126</v>
      </c>
    </row>
    <row r="2713" spans="1:6" x14ac:dyDescent="0.2">
      <c r="A2713">
        <v>98451032</v>
      </c>
      <c r="B2713">
        <v>2018</v>
      </c>
      <c r="C2713">
        <v>66.108518518518494</v>
      </c>
      <c r="D2713" t="s">
        <v>157</v>
      </c>
      <c r="E2713" t="s">
        <v>156</v>
      </c>
      <c r="F2713" t="s">
        <v>1126</v>
      </c>
    </row>
    <row r="2714" spans="1:6" x14ac:dyDescent="0.2">
      <c r="A2714">
        <v>98451032</v>
      </c>
      <c r="B2714">
        <v>2017</v>
      </c>
      <c r="C2714">
        <v>68.2638888888889</v>
      </c>
      <c r="D2714" t="s">
        <v>157</v>
      </c>
      <c r="E2714" t="s">
        <v>156</v>
      </c>
      <c r="F2714" t="s">
        <v>1126</v>
      </c>
    </row>
    <row r="2715" spans="1:6" x14ac:dyDescent="0.2">
      <c r="A2715">
        <v>98451032</v>
      </c>
      <c r="B2715">
        <v>2016</v>
      </c>
      <c r="C2715">
        <v>57.578421052631597</v>
      </c>
      <c r="D2715" t="s">
        <v>157</v>
      </c>
      <c r="E2715" t="s">
        <v>156</v>
      </c>
      <c r="F2715" t="s">
        <v>1126</v>
      </c>
    </row>
    <row r="2716" spans="1:6" x14ac:dyDescent="0.2">
      <c r="A2716">
        <v>98451032</v>
      </c>
      <c r="B2716">
        <v>2015</v>
      </c>
      <c r="C2716">
        <v>61.290999999999997</v>
      </c>
      <c r="D2716" t="s">
        <v>157</v>
      </c>
      <c r="E2716" t="s">
        <v>156</v>
      </c>
      <c r="F2716" t="s">
        <v>1126</v>
      </c>
    </row>
    <row r="2717" spans="1:6" x14ac:dyDescent="0.2">
      <c r="A2717">
        <v>98451032</v>
      </c>
      <c r="B2717">
        <v>2013</v>
      </c>
      <c r="C2717">
        <v>51.25</v>
      </c>
      <c r="D2717" t="s">
        <v>157</v>
      </c>
      <c r="E2717" t="s">
        <v>156</v>
      </c>
      <c r="F2717" t="s">
        <v>1126</v>
      </c>
    </row>
    <row r="2718" spans="1:6" x14ac:dyDescent="0.2">
      <c r="A2718">
        <v>98451032</v>
      </c>
      <c r="B2718">
        <v>2011</v>
      </c>
      <c r="C2718">
        <v>44.994999999999997</v>
      </c>
      <c r="D2718" t="s">
        <v>157</v>
      </c>
      <c r="E2718" t="s">
        <v>156</v>
      </c>
      <c r="F2718" t="s">
        <v>1126</v>
      </c>
    </row>
    <row r="2719" spans="1:6" x14ac:dyDescent="0.2">
      <c r="A2719">
        <v>98451032</v>
      </c>
      <c r="B2719">
        <v>2010</v>
      </c>
      <c r="C2719">
        <v>40</v>
      </c>
      <c r="D2719" t="s">
        <v>157</v>
      </c>
      <c r="E2719" t="s">
        <v>156</v>
      </c>
      <c r="F2719" t="s">
        <v>1126</v>
      </c>
    </row>
    <row r="2720" spans="1:6" x14ac:dyDescent="0.2">
      <c r="A2720">
        <v>65852191</v>
      </c>
      <c r="B2720">
        <v>2020</v>
      </c>
      <c r="C2720">
        <v>30.1428571428571</v>
      </c>
      <c r="D2720" t="s">
        <v>255</v>
      </c>
      <c r="E2720"/>
      <c r="F2720" t="s">
        <v>256</v>
      </c>
    </row>
    <row r="2721" spans="1:6" x14ac:dyDescent="0.2">
      <c r="A2721">
        <v>65852191</v>
      </c>
      <c r="B2721">
        <v>2019</v>
      </c>
      <c r="C2721">
        <v>20</v>
      </c>
      <c r="D2721" t="s">
        <v>255</v>
      </c>
      <c r="E2721"/>
      <c r="F2721" t="s">
        <v>256</v>
      </c>
    </row>
    <row r="2722" spans="1:6" x14ac:dyDescent="0.2">
      <c r="A2722">
        <v>65852191</v>
      </c>
      <c r="B2722">
        <v>2018</v>
      </c>
      <c r="C2722">
        <v>33.6666666666667</v>
      </c>
      <c r="D2722" t="s">
        <v>255</v>
      </c>
      <c r="E2722"/>
      <c r="F2722" t="s">
        <v>256</v>
      </c>
    </row>
    <row r="2723" spans="1:6" x14ac:dyDescent="0.2">
      <c r="A2723">
        <v>65852191</v>
      </c>
      <c r="B2723">
        <v>2017</v>
      </c>
      <c r="C2723">
        <v>30.5</v>
      </c>
      <c r="D2723" t="s">
        <v>255</v>
      </c>
      <c r="E2723"/>
      <c r="F2723" t="s">
        <v>256</v>
      </c>
    </row>
    <row r="2724" spans="1:6" x14ac:dyDescent="0.2">
      <c r="A2724">
        <v>65852191</v>
      </c>
      <c r="B2724">
        <v>2016</v>
      </c>
      <c r="C2724">
        <v>25.623750000000001</v>
      </c>
      <c r="D2724" t="s">
        <v>255</v>
      </c>
      <c r="E2724"/>
      <c r="F2724" t="s">
        <v>256</v>
      </c>
    </row>
    <row r="2725" spans="1:6" x14ac:dyDescent="0.2">
      <c r="A2725">
        <v>65852191</v>
      </c>
      <c r="B2725">
        <v>2015</v>
      </c>
      <c r="C2725">
        <v>36.75</v>
      </c>
      <c r="D2725" t="s">
        <v>255</v>
      </c>
      <c r="E2725"/>
      <c r="F2725" t="s">
        <v>256</v>
      </c>
    </row>
    <row r="2726" spans="1:6" x14ac:dyDescent="0.2">
      <c r="A2726">
        <v>65852191</v>
      </c>
      <c r="B2726">
        <v>2014</v>
      </c>
      <c r="C2726">
        <v>26.3333333333333</v>
      </c>
      <c r="D2726" t="s">
        <v>255</v>
      </c>
      <c r="E2726"/>
      <c r="F2726" t="s">
        <v>256</v>
      </c>
    </row>
    <row r="2727" spans="1:6" x14ac:dyDescent="0.2">
      <c r="A2727">
        <v>65852191</v>
      </c>
      <c r="B2727">
        <v>2013</v>
      </c>
      <c r="C2727">
        <v>86.25</v>
      </c>
      <c r="D2727" t="s">
        <v>255</v>
      </c>
      <c r="E2727"/>
      <c r="F2727" t="s">
        <v>256</v>
      </c>
    </row>
    <row r="2728" spans="1:6" x14ac:dyDescent="0.2">
      <c r="A2728">
        <v>65852191</v>
      </c>
      <c r="B2728">
        <v>2012</v>
      </c>
      <c r="C2728">
        <v>53.3333333333333</v>
      </c>
      <c r="D2728" t="s">
        <v>255</v>
      </c>
      <c r="E2728"/>
      <c r="F2728" t="s">
        <v>256</v>
      </c>
    </row>
    <row r="2729" spans="1:6" x14ac:dyDescent="0.2">
      <c r="A2729">
        <v>25972531</v>
      </c>
      <c r="B2729">
        <v>2020</v>
      </c>
      <c r="C2729">
        <v>76.5</v>
      </c>
      <c r="D2729" t="s">
        <v>572</v>
      </c>
      <c r="E2729" t="s">
        <v>573</v>
      </c>
      <c r="F2729" t="s">
        <v>1126</v>
      </c>
    </row>
    <row r="2730" spans="1:6" x14ac:dyDescent="0.2">
      <c r="A2730">
        <v>25972531</v>
      </c>
      <c r="B2730">
        <v>2019</v>
      </c>
      <c r="C2730">
        <v>75.383333333333297</v>
      </c>
      <c r="D2730" t="s">
        <v>572</v>
      </c>
      <c r="E2730" t="s">
        <v>573</v>
      </c>
      <c r="F2730" t="s">
        <v>1126</v>
      </c>
    </row>
    <row r="2731" spans="1:6" x14ac:dyDescent="0.2">
      <c r="A2731">
        <v>25972531</v>
      </c>
      <c r="B2731">
        <v>2018</v>
      </c>
      <c r="C2731">
        <v>69.453863636363593</v>
      </c>
      <c r="D2731" t="s">
        <v>572</v>
      </c>
      <c r="E2731" t="s">
        <v>573</v>
      </c>
      <c r="F2731" t="s">
        <v>1126</v>
      </c>
    </row>
    <row r="2732" spans="1:6" x14ac:dyDescent="0.2">
      <c r="A2732">
        <v>25972531</v>
      </c>
      <c r="B2732">
        <v>2017</v>
      </c>
      <c r="C2732">
        <v>64.618333333333297</v>
      </c>
      <c r="D2732" t="s">
        <v>572</v>
      </c>
      <c r="E2732" t="s">
        <v>573</v>
      </c>
      <c r="F2732" t="s">
        <v>1126</v>
      </c>
    </row>
    <row r="2733" spans="1:6" x14ac:dyDescent="0.2">
      <c r="A2733">
        <v>25972531</v>
      </c>
      <c r="B2733">
        <v>2016</v>
      </c>
      <c r="C2733">
        <v>50.270285714285698</v>
      </c>
      <c r="D2733" t="s">
        <v>572</v>
      </c>
      <c r="E2733" t="s">
        <v>573</v>
      </c>
      <c r="F2733" t="s">
        <v>1126</v>
      </c>
    </row>
    <row r="2734" spans="1:6" x14ac:dyDescent="0.2">
      <c r="A2734">
        <v>25972531</v>
      </c>
      <c r="B2734">
        <v>2015</v>
      </c>
      <c r="C2734">
        <v>51.826896551724097</v>
      </c>
      <c r="D2734" t="s">
        <v>572</v>
      </c>
      <c r="E2734" t="s">
        <v>573</v>
      </c>
      <c r="F2734" t="s">
        <v>1126</v>
      </c>
    </row>
    <row r="2735" spans="1:6" x14ac:dyDescent="0.2">
      <c r="A2735">
        <v>25972531</v>
      </c>
      <c r="B2735">
        <v>2014</v>
      </c>
      <c r="C2735">
        <v>60.164999999999999</v>
      </c>
      <c r="D2735" t="s">
        <v>572</v>
      </c>
      <c r="E2735" t="s">
        <v>573</v>
      </c>
      <c r="F2735" t="s">
        <v>1126</v>
      </c>
    </row>
    <row r="2736" spans="1:6" x14ac:dyDescent="0.2">
      <c r="A2736">
        <v>25972531</v>
      </c>
      <c r="B2736">
        <v>2013</v>
      </c>
      <c r="C2736">
        <v>39.75</v>
      </c>
      <c r="D2736" t="s">
        <v>572</v>
      </c>
      <c r="E2736" t="s">
        <v>573</v>
      </c>
      <c r="F2736" t="s">
        <v>1126</v>
      </c>
    </row>
    <row r="2737" spans="1:6" x14ac:dyDescent="0.2">
      <c r="A2737">
        <v>25972531</v>
      </c>
      <c r="B2737">
        <v>2012</v>
      </c>
      <c r="C2737">
        <v>35</v>
      </c>
      <c r="D2737" t="s">
        <v>572</v>
      </c>
      <c r="E2737" t="s">
        <v>573</v>
      </c>
      <c r="F2737" t="s">
        <v>1126</v>
      </c>
    </row>
    <row r="2738" spans="1:6" x14ac:dyDescent="0.2">
      <c r="A2738">
        <v>25972531</v>
      </c>
      <c r="B2738">
        <v>2011</v>
      </c>
      <c r="C2738">
        <v>49.6</v>
      </c>
      <c r="D2738" t="s">
        <v>572</v>
      </c>
      <c r="E2738" t="s">
        <v>573</v>
      </c>
      <c r="F2738" t="s">
        <v>1126</v>
      </c>
    </row>
    <row r="2739" spans="1:6" x14ac:dyDescent="0.2">
      <c r="A2739">
        <v>84435662</v>
      </c>
      <c r="B2739">
        <v>2020</v>
      </c>
      <c r="C2739">
        <v>20.0813346026627</v>
      </c>
      <c r="D2739" t="s">
        <v>1090</v>
      </c>
      <c r="E2739" t="s">
        <v>1090</v>
      </c>
      <c r="F2739" t="s">
        <v>261</v>
      </c>
    </row>
    <row r="2740" spans="1:6" x14ac:dyDescent="0.2">
      <c r="A2740">
        <v>84435662</v>
      </c>
      <c r="B2740">
        <v>2019</v>
      </c>
      <c r="C2740">
        <v>21.037943762532901</v>
      </c>
      <c r="D2740" t="s">
        <v>1090</v>
      </c>
      <c r="E2740" t="s">
        <v>1090</v>
      </c>
      <c r="F2740" t="s">
        <v>261</v>
      </c>
    </row>
    <row r="2741" spans="1:6" x14ac:dyDescent="0.2">
      <c r="A2741">
        <v>84435662</v>
      </c>
      <c r="B2741">
        <v>2018</v>
      </c>
      <c r="C2741">
        <v>25.382096069869</v>
      </c>
      <c r="D2741" t="s">
        <v>1090</v>
      </c>
      <c r="E2741" t="s">
        <v>1090</v>
      </c>
      <c r="F2741" t="s">
        <v>261</v>
      </c>
    </row>
    <row r="2742" spans="1:6" x14ac:dyDescent="0.2">
      <c r="A2742">
        <v>84435662</v>
      </c>
      <c r="B2742">
        <v>2017</v>
      </c>
      <c r="C2742">
        <v>21.6312993454844</v>
      </c>
      <c r="D2742" t="s">
        <v>1090</v>
      </c>
      <c r="E2742" t="s">
        <v>1090</v>
      </c>
      <c r="F2742" t="s">
        <v>261</v>
      </c>
    </row>
    <row r="2743" spans="1:6" x14ac:dyDescent="0.2">
      <c r="A2743">
        <v>84435662</v>
      </c>
      <c r="B2743">
        <v>2016</v>
      </c>
      <c r="C2743">
        <v>17.8176752473337</v>
      </c>
      <c r="D2743" t="s">
        <v>1090</v>
      </c>
      <c r="E2743" t="s">
        <v>1090</v>
      </c>
      <c r="F2743" t="s">
        <v>261</v>
      </c>
    </row>
    <row r="2744" spans="1:6" x14ac:dyDescent="0.2">
      <c r="A2744">
        <v>84435662</v>
      </c>
      <c r="B2744">
        <v>2015</v>
      </c>
      <c r="C2744">
        <v>22.5435669262143</v>
      </c>
      <c r="D2744" t="s">
        <v>1090</v>
      </c>
      <c r="E2744" t="s">
        <v>1090</v>
      </c>
      <c r="F2744" t="s">
        <v>261</v>
      </c>
    </row>
    <row r="2745" spans="1:6" x14ac:dyDescent="0.2">
      <c r="A2745">
        <v>84435662</v>
      </c>
      <c r="B2745">
        <v>2014</v>
      </c>
      <c r="C2745">
        <v>22.529712768965499</v>
      </c>
      <c r="D2745" t="s">
        <v>1090</v>
      </c>
      <c r="E2745" t="s">
        <v>1090</v>
      </c>
      <c r="F2745" t="s">
        <v>261</v>
      </c>
    </row>
    <row r="2746" spans="1:6" x14ac:dyDescent="0.2">
      <c r="A2746">
        <v>84435662</v>
      </c>
      <c r="B2746">
        <v>2012</v>
      </c>
      <c r="C2746">
        <v>24.850581944007502</v>
      </c>
      <c r="D2746" t="s">
        <v>1090</v>
      </c>
      <c r="E2746" t="s">
        <v>1090</v>
      </c>
      <c r="F2746" t="s">
        <v>261</v>
      </c>
    </row>
    <row r="2747" spans="1:6" x14ac:dyDescent="0.2">
      <c r="A2747">
        <v>89289599</v>
      </c>
      <c r="B2747">
        <v>2018</v>
      </c>
      <c r="C2747">
        <v>36.007629724784898</v>
      </c>
      <c r="D2747" t="s">
        <v>560</v>
      </c>
      <c r="E2747" t="s">
        <v>287</v>
      </c>
      <c r="F2747" t="s">
        <v>49</v>
      </c>
    </row>
    <row r="2748" spans="1:6" x14ac:dyDescent="0.2">
      <c r="A2748">
        <v>89289599</v>
      </c>
      <c r="B2748">
        <v>2016</v>
      </c>
      <c r="C2748">
        <v>33.488477693268202</v>
      </c>
      <c r="D2748" t="s">
        <v>560</v>
      </c>
      <c r="E2748" t="s">
        <v>287</v>
      </c>
      <c r="F2748" t="s">
        <v>49</v>
      </c>
    </row>
    <row r="2749" spans="1:6" x14ac:dyDescent="0.2">
      <c r="A2749">
        <v>35978748</v>
      </c>
      <c r="B2749">
        <v>2020</v>
      </c>
      <c r="C2749">
        <v>71.097999999999999</v>
      </c>
      <c r="D2749" t="s">
        <v>155</v>
      </c>
      <c r="E2749" t="s">
        <v>156</v>
      </c>
      <c r="F2749" t="s">
        <v>1126</v>
      </c>
    </row>
    <row r="2750" spans="1:6" x14ac:dyDescent="0.2">
      <c r="A2750">
        <v>35978748</v>
      </c>
      <c r="B2750">
        <v>2019</v>
      </c>
      <c r="C2750">
        <v>72.642857142857096</v>
      </c>
      <c r="D2750" t="s">
        <v>155</v>
      </c>
      <c r="E2750" t="s">
        <v>156</v>
      </c>
      <c r="F2750" t="s">
        <v>1126</v>
      </c>
    </row>
    <row r="2751" spans="1:6" x14ac:dyDescent="0.2">
      <c r="A2751">
        <v>35978748</v>
      </c>
      <c r="B2751">
        <v>2018</v>
      </c>
      <c r="C2751">
        <v>75.4444444444444</v>
      </c>
      <c r="D2751" t="s">
        <v>155</v>
      </c>
      <c r="E2751" t="s">
        <v>156</v>
      </c>
      <c r="F2751" t="s">
        <v>1126</v>
      </c>
    </row>
    <row r="2752" spans="1:6" x14ac:dyDescent="0.2">
      <c r="A2752">
        <v>35978748</v>
      </c>
      <c r="B2752">
        <v>2017</v>
      </c>
      <c r="C2752">
        <v>74.283333333333303</v>
      </c>
      <c r="D2752" t="s">
        <v>155</v>
      </c>
      <c r="E2752" t="s">
        <v>156</v>
      </c>
      <c r="F2752" t="s">
        <v>1126</v>
      </c>
    </row>
    <row r="2753" spans="1:6" x14ac:dyDescent="0.2">
      <c r="A2753">
        <v>35978748</v>
      </c>
      <c r="B2753">
        <v>2016</v>
      </c>
      <c r="C2753">
        <v>58.924999999999997</v>
      </c>
      <c r="D2753" t="s">
        <v>155</v>
      </c>
      <c r="E2753" t="s">
        <v>156</v>
      </c>
      <c r="F2753" t="s">
        <v>1126</v>
      </c>
    </row>
    <row r="2754" spans="1:6" x14ac:dyDescent="0.2">
      <c r="A2754">
        <v>35978748</v>
      </c>
      <c r="B2754">
        <v>2015</v>
      </c>
      <c r="C2754">
        <v>53.882352941176499</v>
      </c>
      <c r="D2754" t="s">
        <v>155</v>
      </c>
      <c r="E2754" t="s">
        <v>156</v>
      </c>
      <c r="F2754" t="s">
        <v>1126</v>
      </c>
    </row>
    <row r="2755" spans="1:6" x14ac:dyDescent="0.2">
      <c r="A2755">
        <v>35978748</v>
      </c>
      <c r="B2755">
        <v>2014</v>
      </c>
      <c r="C2755">
        <v>43.57</v>
      </c>
      <c r="D2755" t="s">
        <v>155</v>
      </c>
      <c r="E2755" t="s">
        <v>156</v>
      </c>
      <c r="F2755" t="s">
        <v>1126</v>
      </c>
    </row>
    <row r="2756" spans="1:6" x14ac:dyDescent="0.2">
      <c r="A2756">
        <v>35978748</v>
      </c>
      <c r="B2756">
        <v>2012</v>
      </c>
      <c r="C2756">
        <v>40</v>
      </c>
      <c r="D2756" t="s">
        <v>155</v>
      </c>
      <c r="E2756" t="s">
        <v>156</v>
      </c>
      <c r="F2756" t="s">
        <v>1126</v>
      </c>
    </row>
    <row r="2757" spans="1:6" x14ac:dyDescent="0.2">
      <c r="A2757">
        <v>35978748</v>
      </c>
      <c r="B2757">
        <v>2011</v>
      </c>
      <c r="C2757">
        <v>45</v>
      </c>
      <c r="D2757" t="s">
        <v>155</v>
      </c>
      <c r="E2757" t="s">
        <v>156</v>
      </c>
      <c r="F2757" t="s">
        <v>1126</v>
      </c>
    </row>
    <row r="2758" spans="1:6" x14ac:dyDescent="0.2">
      <c r="A2758">
        <v>42829900</v>
      </c>
      <c r="B2758">
        <v>2019</v>
      </c>
      <c r="C2758">
        <v>64</v>
      </c>
      <c r="D2758" t="s">
        <v>844</v>
      </c>
      <c r="E2758" t="s">
        <v>123</v>
      </c>
      <c r="F2758" t="s">
        <v>1126</v>
      </c>
    </row>
    <row r="2759" spans="1:6" x14ac:dyDescent="0.2">
      <c r="A2759">
        <v>42829900</v>
      </c>
      <c r="B2759">
        <v>2018</v>
      </c>
      <c r="C2759">
        <v>47.166249999999998</v>
      </c>
      <c r="D2759" t="s">
        <v>844</v>
      </c>
      <c r="E2759" t="s">
        <v>123</v>
      </c>
      <c r="F2759" t="s">
        <v>1126</v>
      </c>
    </row>
    <row r="2760" spans="1:6" x14ac:dyDescent="0.2">
      <c r="A2760">
        <v>42829900</v>
      </c>
      <c r="B2760">
        <v>2016</v>
      </c>
      <c r="C2760">
        <v>57.8</v>
      </c>
      <c r="D2760" t="s">
        <v>844</v>
      </c>
      <c r="E2760" t="s">
        <v>123</v>
      </c>
      <c r="F2760" t="s">
        <v>1126</v>
      </c>
    </row>
    <row r="2761" spans="1:6" x14ac:dyDescent="0.2">
      <c r="A2761">
        <v>15720692</v>
      </c>
      <c r="B2761">
        <v>2016</v>
      </c>
      <c r="C2761">
        <v>25.2845182194092</v>
      </c>
      <c r="D2761" t="s">
        <v>1097</v>
      </c>
      <c r="E2761" t="s">
        <v>516</v>
      </c>
      <c r="F2761" t="s">
        <v>183</v>
      </c>
    </row>
    <row r="2762" spans="1:6" x14ac:dyDescent="0.2">
      <c r="A2762">
        <v>50339333</v>
      </c>
      <c r="B2762">
        <v>2020</v>
      </c>
      <c r="C2762">
        <v>13.3587371985726</v>
      </c>
      <c r="D2762" t="s">
        <v>66</v>
      </c>
      <c r="E2762" t="s">
        <v>67</v>
      </c>
      <c r="F2762" t="s">
        <v>68</v>
      </c>
    </row>
    <row r="2763" spans="1:6" x14ac:dyDescent="0.2">
      <c r="A2763">
        <v>50339333</v>
      </c>
      <c r="B2763">
        <v>2019</v>
      </c>
      <c r="C2763">
        <v>13.2940832514394</v>
      </c>
      <c r="D2763" t="s">
        <v>66</v>
      </c>
      <c r="E2763" t="s">
        <v>67</v>
      </c>
      <c r="F2763" t="s">
        <v>68</v>
      </c>
    </row>
    <row r="2764" spans="1:6" x14ac:dyDescent="0.2">
      <c r="A2764">
        <v>50339333</v>
      </c>
      <c r="B2764">
        <v>2018</v>
      </c>
      <c r="C2764">
        <v>12.741491072992799</v>
      </c>
      <c r="D2764" t="s">
        <v>66</v>
      </c>
      <c r="E2764" t="s">
        <v>67</v>
      </c>
      <c r="F2764" t="s">
        <v>68</v>
      </c>
    </row>
    <row r="2765" spans="1:6" x14ac:dyDescent="0.2">
      <c r="A2765">
        <v>50339333</v>
      </c>
      <c r="B2765">
        <v>2017</v>
      </c>
      <c r="C2765">
        <v>10.302197802197799</v>
      </c>
      <c r="D2765" t="s">
        <v>66</v>
      </c>
      <c r="E2765" t="s">
        <v>67</v>
      </c>
      <c r="F2765" t="s">
        <v>68</v>
      </c>
    </row>
    <row r="2766" spans="1:6" x14ac:dyDescent="0.2">
      <c r="A2766">
        <v>50339333</v>
      </c>
      <c r="B2766">
        <v>2016</v>
      </c>
      <c r="C2766">
        <v>10.048590517703399</v>
      </c>
      <c r="D2766" t="s">
        <v>66</v>
      </c>
      <c r="E2766" t="s">
        <v>67</v>
      </c>
      <c r="F2766" t="s">
        <v>68</v>
      </c>
    </row>
    <row r="2767" spans="1:6" x14ac:dyDescent="0.2">
      <c r="A2767">
        <v>50339333</v>
      </c>
      <c r="B2767">
        <v>2015</v>
      </c>
      <c r="C2767">
        <v>8.6620960468661501</v>
      </c>
      <c r="D2767" t="s">
        <v>66</v>
      </c>
      <c r="E2767" t="s">
        <v>67</v>
      </c>
      <c r="F2767" t="s">
        <v>68</v>
      </c>
    </row>
    <row r="2768" spans="1:6" x14ac:dyDescent="0.2">
      <c r="A2768">
        <v>50339333</v>
      </c>
      <c r="B2768">
        <v>2014</v>
      </c>
      <c r="C2768">
        <v>13.353770408044801</v>
      </c>
      <c r="D2768" t="s">
        <v>66</v>
      </c>
      <c r="E2768" t="s">
        <v>67</v>
      </c>
      <c r="F2768" t="s">
        <v>68</v>
      </c>
    </row>
    <row r="2769" spans="1:6" x14ac:dyDescent="0.2">
      <c r="A2769">
        <v>50339333</v>
      </c>
      <c r="B2769">
        <v>2013</v>
      </c>
      <c r="C2769">
        <v>10</v>
      </c>
      <c r="D2769" t="s">
        <v>66</v>
      </c>
      <c r="E2769" t="s">
        <v>67</v>
      </c>
      <c r="F2769" t="s">
        <v>68</v>
      </c>
    </row>
    <row r="2770" spans="1:6" x14ac:dyDescent="0.2">
      <c r="A2770">
        <v>16899868</v>
      </c>
      <c r="B2770">
        <v>2020</v>
      </c>
      <c r="C2770">
        <v>31.575545421112501</v>
      </c>
      <c r="D2770" t="s">
        <v>774</v>
      </c>
      <c r="E2770" t="s">
        <v>18</v>
      </c>
      <c r="F2770" t="s">
        <v>19</v>
      </c>
    </row>
    <row r="2771" spans="1:6" x14ac:dyDescent="0.2">
      <c r="A2771">
        <v>18235219</v>
      </c>
      <c r="B2771">
        <v>2019</v>
      </c>
      <c r="C2771">
        <v>16.4197936291201</v>
      </c>
      <c r="D2771" t="s">
        <v>777</v>
      </c>
      <c r="E2771"/>
      <c r="F2771" t="s">
        <v>139</v>
      </c>
    </row>
    <row r="2772" spans="1:6" x14ac:dyDescent="0.2">
      <c r="A2772">
        <v>61530228</v>
      </c>
      <c r="B2772">
        <v>2020</v>
      </c>
      <c r="C2772">
        <v>24.291709421762199</v>
      </c>
      <c r="D2772" t="s">
        <v>617</v>
      </c>
      <c r="E2772" t="s">
        <v>618</v>
      </c>
      <c r="F2772" t="s">
        <v>619</v>
      </c>
    </row>
    <row r="2773" spans="1:6" x14ac:dyDescent="0.2">
      <c r="A2773">
        <v>61530228</v>
      </c>
      <c r="B2773">
        <v>2019</v>
      </c>
      <c r="C2773">
        <v>25.1421998047174</v>
      </c>
      <c r="D2773" t="s">
        <v>617</v>
      </c>
      <c r="E2773" t="s">
        <v>618</v>
      </c>
      <c r="F2773" t="s">
        <v>619</v>
      </c>
    </row>
    <row r="2774" spans="1:6" x14ac:dyDescent="0.2">
      <c r="A2774">
        <v>61530228</v>
      </c>
      <c r="B2774">
        <v>2018</v>
      </c>
      <c r="C2774">
        <v>30.840048269687401</v>
      </c>
      <c r="D2774" t="s">
        <v>617</v>
      </c>
      <c r="E2774" t="s">
        <v>618</v>
      </c>
      <c r="F2774" t="s">
        <v>619</v>
      </c>
    </row>
    <row r="2775" spans="1:6" x14ac:dyDescent="0.2">
      <c r="A2775">
        <v>61530228</v>
      </c>
      <c r="B2775">
        <v>2017</v>
      </c>
      <c r="C2775">
        <v>26.8696820420958</v>
      </c>
      <c r="D2775" t="s">
        <v>617</v>
      </c>
      <c r="E2775" t="s">
        <v>618</v>
      </c>
      <c r="F2775" t="s">
        <v>619</v>
      </c>
    </row>
    <row r="2776" spans="1:6" x14ac:dyDescent="0.2">
      <c r="A2776">
        <v>61530228</v>
      </c>
      <c r="B2776">
        <v>2016</v>
      </c>
      <c r="C2776">
        <v>20.433647406062001</v>
      </c>
      <c r="D2776" t="s">
        <v>617</v>
      </c>
      <c r="E2776" t="s">
        <v>618</v>
      </c>
      <c r="F2776" t="s">
        <v>619</v>
      </c>
    </row>
    <row r="2777" spans="1:6" x14ac:dyDescent="0.2">
      <c r="A2777">
        <v>61530228</v>
      </c>
      <c r="B2777">
        <v>2015</v>
      </c>
      <c r="C2777">
        <v>25.1366120218579</v>
      </c>
      <c r="D2777" t="s">
        <v>617</v>
      </c>
      <c r="E2777" t="s">
        <v>618</v>
      </c>
      <c r="F2777" t="s">
        <v>619</v>
      </c>
    </row>
    <row r="2778" spans="1:6" x14ac:dyDescent="0.2">
      <c r="A2778">
        <v>44621840</v>
      </c>
      <c r="B2778">
        <v>2020</v>
      </c>
      <c r="C2778">
        <v>56.7620810492568</v>
      </c>
      <c r="D2778" t="s">
        <v>906</v>
      </c>
      <c r="E2778" t="s">
        <v>907</v>
      </c>
      <c r="F2778" t="s">
        <v>428</v>
      </c>
    </row>
    <row r="2779" spans="1:6" x14ac:dyDescent="0.2">
      <c r="A2779">
        <v>44621840</v>
      </c>
      <c r="B2779">
        <v>2018</v>
      </c>
      <c r="C2779">
        <v>72.845750865405194</v>
      </c>
      <c r="D2779" t="s">
        <v>906</v>
      </c>
      <c r="E2779" t="s">
        <v>907</v>
      </c>
      <c r="F2779" t="s">
        <v>428</v>
      </c>
    </row>
    <row r="2780" spans="1:6" x14ac:dyDescent="0.2">
      <c r="A2780">
        <v>44621840</v>
      </c>
      <c r="B2780">
        <v>2016</v>
      </c>
      <c r="C2780">
        <v>45.826931205926002</v>
      </c>
      <c r="D2780" t="s">
        <v>906</v>
      </c>
      <c r="E2780" t="s">
        <v>907</v>
      </c>
      <c r="F2780" t="s">
        <v>428</v>
      </c>
    </row>
    <row r="2781" spans="1:6" x14ac:dyDescent="0.2">
      <c r="A2781">
        <v>49609795</v>
      </c>
      <c r="B2781">
        <v>2018</v>
      </c>
      <c r="C2781">
        <v>40.520672112915101</v>
      </c>
      <c r="D2781" t="s">
        <v>429</v>
      </c>
      <c r="E2781" t="s">
        <v>430</v>
      </c>
      <c r="F2781" t="s">
        <v>431</v>
      </c>
    </row>
    <row r="2782" spans="1:6" x14ac:dyDescent="0.2">
      <c r="A2782">
        <v>49609795</v>
      </c>
      <c r="B2782">
        <v>2017</v>
      </c>
      <c r="C2782">
        <v>45.562249818329001</v>
      </c>
      <c r="D2782" t="s">
        <v>429</v>
      </c>
      <c r="E2782" t="s">
        <v>430</v>
      </c>
      <c r="F2782" t="s">
        <v>431</v>
      </c>
    </row>
    <row r="2783" spans="1:6" x14ac:dyDescent="0.2">
      <c r="A2783">
        <v>46321290</v>
      </c>
      <c r="B2783">
        <v>2020</v>
      </c>
      <c r="C2783">
        <v>49.655362505587703</v>
      </c>
      <c r="D2783" t="s">
        <v>730</v>
      </c>
      <c r="E2783"/>
      <c r="F2783" t="s">
        <v>731</v>
      </c>
    </row>
    <row r="2784" spans="1:6" x14ac:dyDescent="0.2">
      <c r="A2784">
        <v>46321290</v>
      </c>
      <c r="B2784">
        <v>2019</v>
      </c>
      <c r="C2784">
        <v>46.937615775762197</v>
      </c>
      <c r="D2784" t="s">
        <v>730</v>
      </c>
      <c r="E2784"/>
      <c r="F2784" t="s">
        <v>731</v>
      </c>
    </row>
    <row r="2785" spans="1:6" x14ac:dyDescent="0.2">
      <c r="A2785">
        <v>46321290</v>
      </c>
      <c r="B2785">
        <v>2018</v>
      </c>
      <c r="C2785">
        <v>44.564054366363798</v>
      </c>
      <c r="D2785" t="s">
        <v>730</v>
      </c>
      <c r="E2785"/>
      <c r="F2785" t="s">
        <v>731</v>
      </c>
    </row>
    <row r="2786" spans="1:6" x14ac:dyDescent="0.2">
      <c r="A2786">
        <v>46321290</v>
      </c>
      <c r="B2786">
        <v>2017</v>
      </c>
      <c r="C2786">
        <v>37.5846771169726</v>
      </c>
      <c r="D2786" t="s">
        <v>730</v>
      </c>
      <c r="E2786"/>
      <c r="F2786" t="s">
        <v>731</v>
      </c>
    </row>
    <row r="2787" spans="1:6" x14ac:dyDescent="0.2">
      <c r="A2787">
        <v>46321290</v>
      </c>
      <c r="B2787">
        <v>2016</v>
      </c>
      <c r="C2787">
        <v>32.047898411932401</v>
      </c>
      <c r="D2787" t="s">
        <v>730</v>
      </c>
      <c r="E2787"/>
      <c r="F2787" t="s">
        <v>731</v>
      </c>
    </row>
    <row r="2788" spans="1:6" x14ac:dyDescent="0.2">
      <c r="A2788">
        <v>46321290</v>
      </c>
      <c r="B2788">
        <v>2015</v>
      </c>
      <c r="C2788">
        <v>32.5845917556899</v>
      </c>
      <c r="D2788" t="s">
        <v>730</v>
      </c>
      <c r="E2788"/>
      <c r="F2788" t="s">
        <v>731</v>
      </c>
    </row>
    <row r="2789" spans="1:6" x14ac:dyDescent="0.2">
      <c r="A2789">
        <v>46321290</v>
      </c>
      <c r="B2789">
        <v>2013</v>
      </c>
      <c r="C2789">
        <v>42.260961436872698</v>
      </c>
      <c r="D2789" t="s">
        <v>730</v>
      </c>
      <c r="E2789"/>
      <c r="F2789" t="s">
        <v>731</v>
      </c>
    </row>
    <row r="2790" spans="1:6" x14ac:dyDescent="0.2">
      <c r="A2790">
        <v>14313197</v>
      </c>
      <c r="B2790">
        <v>2020</v>
      </c>
      <c r="C2790">
        <v>65.048536585365895</v>
      </c>
      <c r="D2790" t="s">
        <v>469</v>
      </c>
      <c r="E2790" t="s">
        <v>470</v>
      </c>
      <c r="F2790" t="s">
        <v>1126</v>
      </c>
    </row>
    <row r="2791" spans="1:6" x14ac:dyDescent="0.2">
      <c r="A2791">
        <v>14313197</v>
      </c>
      <c r="B2791">
        <v>2019</v>
      </c>
      <c r="C2791">
        <v>67.885849056603803</v>
      </c>
      <c r="D2791" t="s">
        <v>469</v>
      </c>
      <c r="E2791" t="s">
        <v>470</v>
      </c>
      <c r="F2791" t="s">
        <v>1126</v>
      </c>
    </row>
    <row r="2792" spans="1:6" x14ac:dyDescent="0.2">
      <c r="A2792">
        <v>42813896</v>
      </c>
      <c r="B2792">
        <v>2019</v>
      </c>
      <c r="C2792">
        <v>61.372500000000002</v>
      </c>
      <c r="D2792" t="s">
        <v>469</v>
      </c>
      <c r="E2792" t="s">
        <v>814</v>
      </c>
      <c r="F2792" t="s">
        <v>1126</v>
      </c>
    </row>
    <row r="2793" spans="1:6" x14ac:dyDescent="0.2">
      <c r="A2793">
        <v>14313197</v>
      </c>
      <c r="B2793">
        <v>2018</v>
      </c>
      <c r="C2793">
        <v>62.104385964912296</v>
      </c>
      <c r="D2793" t="s">
        <v>469</v>
      </c>
      <c r="E2793" t="s">
        <v>470</v>
      </c>
      <c r="F2793" t="s">
        <v>1126</v>
      </c>
    </row>
    <row r="2794" spans="1:6" x14ac:dyDescent="0.2">
      <c r="A2794">
        <v>14313197</v>
      </c>
      <c r="B2794">
        <v>2017</v>
      </c>
      <c r="C2794">
        <v>61.762807017543899</v>
      </c>
      <c r="D2794" t="s">
        <v>469</v>
      </c>
      <c r="E2794" t="s">
        <v>470</v>
      </c>
      <c r="F2794" t="s">
        <v>1126</v>
      </c>
    </row>
    <row r="2795" spans="1:6" x14ac:dyDescent="0.2">
      <c r="A2795">
        <v>42813896</v>
      </c>
      <c r="B2795">
        <v>2017</v>
      </c>
      <c r="C2795">
        <v>49</v>
      </c>
      <c r="D2795" t="s">
        <v>469</v>
      </c>
      <c r="E2795" t="s">
        <v>814</v>
      </c>
      <c r="F2795" t="s">
        <v>1126</v>
      </c>
    </row>
    <row r="2796" spans="1:6" x14ac:dyDescent="0.2">
      <c r="A2796">
        <v>14313197</v>
      </c>
      <c r="B2796">
        <v>2016</v>
      </c>
      <c r="C2796">
        <v>54.808253968254</v>
      </c>
      <c r="D2796" t="s">
        <v>469</v>
      </c>
      <c r="E2796" t="s">
        <v>470</v>
      </c>
      <c r="F2796" t="s">
        <v>1126</v>
      </c>
    </row>
    <row r="2797" spans="1:6" x14ac:dyDescent="0.2">
      <c r="A2797">
        <v>42813896</v>
      </c>
      <c r="B2797">
        <v>2016</v>
      </c>
      <c r="C2797">
        <v>43.99</v>
      </c>
      <c r="D2797" t="s">
        <v>469</v>
      </c>
      <c r="E2797" t="s">
        <v>814</v>
      </c>
      <c r="F2797" t="s">
        <v>1126</v>
      </c>
    </row>
    <row r="2798" spans="1:6" x14ac:dyDescent="0.2">
      <c r="A2798">
        <v>14313197</v>
      </c>
      <c r="B2798">
        <v>2015</v>
      </c>
      <c r="C2798">
        <v>53.536341463414601</v>
      </c>
      <c r="D2798" t="s">
        <v>469</v>
      </c>
      <c r="E2798" t="s">
        <v>470</v>
      </c>
      <c r="F2798" t="s">
        <v>1126</v>
      </c>
    </row>
    <row r="2799" spans="1:6" x14ac:dyDescent="0.2">
      <c r="A2799">
        <v>42813896</v>
      </c>
      <c r="B2799">
        <v>2015</v>
      </c>
      <c r="C2799">
        <v>53.5</v>
      </c>
      <c r="D2799" t="s">
        <v>469</v>
      </c>
      <c r="E2799" t="s">
        <v>814</v>
      </c>
      <c r="F2799" t="s">
        <v>1126</v>
      </c>
    </row>
    <row r="2800" spans="1:6" x14ac:dyDescent="0.2">
      <c r="A2800">
        <v>14313197</v>
      </c>
      <c r="B2800">
        <v>2014</v>
      </c>
      <c r="C2800">
        <v>56.716000000000001</v>
      </c>
      <c r="D2800" t="s">
        <v>469</v>
      </c>
      <c r="E2800" t="s">
        <v>470</v>
      </c>
      <c r="F2800" t="s">
        <v>1126</v>
      </c>
    </row>
    <row r="2801" spans="1:6" x14ac:dyDescent="0.2">
      <c r="A2801">
        <v>14313197</v>
      </c>
      <c r="B2801">
        <v>2013</v>
      </c>
      <c r="C2801">
        <v>46.4</v>
      </c>
      <c r="D2801" t="s">
        <v>469</v>
      </c>
      <c r="E2801" t="s">
        <v>470</v>
      </c>
      <c r="F2801" t="s">
        <v>1126</v>
      </c>
    </row>
    <row r="2802" spans="1:6" x14ac:dyDescent="0.2">
      <c r="A2802">
        <v>14313197</v>
      </c>
      <c r="B2802">
        <v>2012</v>
      </c>
      <c r="C2802">
        <v>48.873750000000001</v>
      </c>
      <c r="D2802" t="s">
        <v>469</v>
      </c>
      <c r="E2802" t="s">
        <v>470</v>
      </c>
      <c r="F2802" t="s">
        <v>1126</v>
      </c>
    </row>
    <row r="2803" spans="1:6" x14ac:dyDescent="0.2">
      <c r="A2803">
        <v>14313197</v>
      </c>
      <c r="B2803">
        <v>2011</v>
      </c>
      <c r="C2803">
        <v>50</v>
      </c>
      <c r="D2803" t="s">
        <v>469</v>
      </c>
      <c r="E2803" t="s">
        <v>470</v>
      </c>
      <c r="F2803" t="s">
        <v>1126</v>
      </c>
    </row>
    <row r="2804" spans="1:6" x14ac:dyDescent="0.2">
      <c r="A2804">
        <v>14313197</v>
      </c>
      <c r="B2804">
        <v>2010</v>
      </c>
      <c r="C2804">
        <v>50</v>
      </c>
      <c r="D2804" t="s">
        <v>469</v>
      </c>
      <c r="E2804" t="s">
        <v>470</v>
      </c>
      <c r="F2804" t="s">
        <v>1126</v>
      </c>
    </row>
    <row r="2805" spans="1:6" x14ac:dyDescent="0.2">
      <c r="A2805">
        <v>70499713</v>
      </c>
      <c r="B2805">
        <v>2020</v>
      </c>
      <c r="C2805">
        <v>35.328121277168997</v>
      </c>
      <c r="D2805" t="s">
        <v>708</v>
      </c>
      <c r="E2805"/>
      <c r="F2805" t="s">
        <v>83</v>
      </c>
    </row>
    <row r="2806" spans="1:6" x14ac:dyDescent="0.2">
      <c r="A2806">
        <v>70499713</v>
      </c>
      <c r="B2806">
        <v>2019</v>
      </c>
      <c r="C2806">
        <v>34.374347801282397</v>
      </c>
      <c r="D2806" t="s">
        <v>708</v>
      </c>
      <c r="E2806"/>
      <c r="F2806" t="s">
        <v>83</v>
      </c>
    </row>
    <row r="2807" spans="1:6" x14ac:dyDescent="0.2">
      <c r="A2807">
        <v>70499713</v>
      </c>
      <c r="B2807">
        <v>2018</v>
      </c>
      <c r="C2807">
        <v>34.423182796416498</v>
      </c>
      <c r="D2807" t="s">
        <v>708</v>
      </c>
      <c r="E2807"/>
      <c r="F2807" t="s">
        <v>83</v>
      </c>
    </row>
    <row r="2808" spans="1:6" x14ac:dyDescent="0.2">
      <c r="A2808">
        <v>70499713</v>
      </c>
      <c r="B2808">
        <v>2017</v>
      </c>
      <c r="C2808">
        <v>29.892521271831601</v>
      </c>
      <c r="D2808" t="s">
        <v>708</v>
      </c>
      <c r="E2808"/>
      <c r="F2808" t="s">
        <v>83</v>
      </c>
    </row>
    <row r="2809" spans="1:6" x14ac:dyDescent="0.2">
      <c r="A2809">
        <v>70499713</v>
      </c>
      <c r="B2809">
        <v>2016</v>
      </c>
      <c r="C2809">
        <v>29.1633556589851</v>
      </c>
      <c r="D2809" t="s">
        <v>708</v>
      </c>
      <c r="E2809"/>
      <c r="F2809" t="s">
        <v>83</v>
      </c>
    </row>
    <row r="2810" spans="1:6" x14ac:dyDescent="0.2">
      <c r="A2810">
        <v>70499713</v>
      </c>
      <c r="B2810">
        <v>2015</v>
      </c>
      <c r="C2810">
        <v>25.1967213114754</v>
      </c>
      <c r="D2810" t="s">
        <v>708</v>
      </c>
      <c r="E2810"/>
      <c r="F2810" t="s">
        <v>83</v>
      </c>
    </row>
    <row r="2811" spans="1:6" x14ac:dyDescent="0.2">
      <c r="A2811">
        <v>70499713</v>
      </c>
      <c r="B2811">
        <v>2014</v>
      </c>
      <c r="C2811">
        <v>31.465165328616099</v>
      </c>
      <c r="D2811" t="s">
        <v>708</v>
      </c>
      <c r="E2811"/>
      <c r="F2811" t="s">
        <v>83</v>
      </c>
    </row>
    <row r="2812" spans="1:6" x14ac:dyDescent="0.2">
      <c r="A2812">
        <v>70499713</v>
      </c>
      <c r="B2812">
        <v>2013</v>
      </c>
      <c r="C2812">
        <v>29.2207792207792</v>
      </c>
      <c r="D2812" t="s">
        <v>708</v>
      </c>
      <c r="E2812"/>
      <c r="F2812" t="s">
        <v>83</v>
      </c>
    </row>
    <row r="2813" spans="1:6" x14ac:dyDescent="0.2">
      <c r="A2813">
        <v>70499713</v>
      </c>
      <c r="B2813">
        <v>2012</v>
      </c>
      <c r="C2813">
        <v>27.563411896745201</v>
      </c>
      <c r="D2813" t="s">
        <v>708</v>
      </c>
      <c r="E2813"/>
      <c r="F2813" t="s">
        <v>83</v>
      </c>
    </row>
    <row r="2814" spans="1:6" x14ac:dyDescent="0.2">
      <c r="A2814">
        <v>70499713</v>
      </c>
      <c r="B2814">
        <v>2011</v>
      </c>
      <c r="C2814">
        <v>28.985507246376802</v>
      </c>
      <c r="D2814" t="s">
        <v>708</v>
      </c>
      <c r="E2814"/>
      <c r="F2814" t="s">
        <v>83</v>
      </c>
    </row>
    <row r="2815" spans="1:6" x14ac:dyDescent="0.2">
      <c r="A2815">
        <v>76006082</v>
      </c>
      <c r="B2815">
        <v>2020</v>
      </c>
      <c r="C2815">
        <v>21.8445921314601</v>
      </c>
      <c r="D2815" t="s">
        <v>741</v>
      </c>
      <c r="E2815" t="s">
        <v>742</v>
      </c>
      <c r="F2815" t="s">
        <v>35</v>
      </c>
    </row>
    <row r="2816" spans="1:6" x14ac:dyDescent="0.2">
      <c r="A2816">
        <v>76006082</v>
      </c>
      <c r="B2816">
        <v>2019</v>
      </c>
      <c r="C2816">
        <v>31.126163042101801</v>
      </c>
      <c r="D2816" t="s">
        <v>741</v>
      </c>
      <c r="E2816" t="s">
        <v>742</v>
      </c>
      <c r="F2816" t="s">
        <v>35</v>
      </c>
    </row>
    <row r="2817" spans="1:6" x14ac:dyDescent="0.2">
      <c r="A2817">
        <v>76006082</v>
      </c>
      <c r="B2817">
        <v>2018</v>
      </c>
      <c r="C2817">
        <v>35.291333190095102</v>
      </c>
      <c r="D2817" t="s">
        <v>741</v>
      </c>
      <c r="E2817" t="s">
        <v>742</v>
      </c>
      <c r="F2817" t="s">
        <v>35</v>
      </c>
    </row>
    <row r="2818" spans="1:6" x14ac:dyDescent="0.2">
      <c r="A2818">
        <v>76006082</v>
      </c>
      <c r="B2818">
        <v>2017</v>
      </c>
      <c r="C2818">
        <v>34.577715297408197</v>
      </c>
      <c r="D2818" t="s">
        <v>741</v>
      </c>
      <c r="E2818" t="s">
        <v>742</v>
      </c>
      <c r="F2818" t="s">
        <v>35</v>
      </c>
    </row>
    <row r="2819" spans="1:6" x14ac:dyDescent="0.2">
      <c r="A2819">
        <v>76006082</v>
      </c>
      <c r="B2819">
        <v>2016</v>
      </c>
      <c r="C2819">
        <v>26.246712863632201</v>
      </c>
      <c r="D2819" t="s">
        <v>741</v>
      </c>
      <c r="E2819" t="s">
        <v>742</v>
      </c>
      <c r="F2819" t="s">
        <v>35</v>
      </c>
    </row>
    <row r="2820" spans="1:6" x14ac:dyDescent="0.2">
      <c r="A2820">
        <v>76006082</v>
      </c>
      <c r="B2820">
        <v>2015</v>
      </c>
      <c r="C2820">
        <v>24.303091207905499</v>
      </c>
      <c r="D2820" t="s">
        <v>741</v>
      </c>
      <c r="E2820" t="s">
        <v>742</v>
      </c>
      <c r="F2820" t="s">
        <v>35</v>
      </c>
    </row>
    <row r="2821" spans="1:6" x14ac:dyDescent="0.2">
      <c r="A2821">
        <v>76006082</v>
      </c>
      <c r="B2821">
        <v>2014</v>
      </c>
      <c r="C2821">
        <v>32.7170685030664</v>
      </c>
      <c r="D2821" t="s">
        <v>741</v>
      </c>
      <c r="E2821" t="s">
        <v>742</v>
      </c>
      <c r="F2821" t="s">
        <v>35</v>
      </c>
    </row>
    <row r="2822" spans="1:6" x14ac:dyDescent="0.2">
      <c r="A2822">
        <v>76006082</v>
      </c>
      <c r="B2822">
        <v>2013</v>
      </c>
      <c r="C2822">
        <v>38.862928348909698</v>
      </c>
      <c r="D2822" t="s">
        <v>741</v>
      </c>
      <c r="E2822" t="s">
        <v>742</v>
      </c>
      <c r="F2822" t="s">
        <v>35</v>
      </c>
    </row>
    <row r="2823" spans="1:6" x14ac:dyDescent="0.2">
      <c r="A2823">
        <v>76006082</v>
      </c>
      <c r="B2823">
        <v>2012</v>
      </c>
      <c r="C2823">
        <v>34.482758620689701</v>
      </c>
      <c r="D2823" t="s">
        <v>741</v>
      </c>
      <c r="E2823" t="s">
        <v>742</v>
      </c>
      <c r="F2823" t="s">
        <v>35</v>
      </c>
    </row>
    <row r="2824" spans="1:6" x14ac:dyDescent="0.2">
      <c r="A2824">
        <v>76006082</v>
      </c>
      <c r="B2824">
        <v>2011</v>
      </c>
      <c r="C2824">
        <v>52.183544303797497</v>
      </c>
      <c r="D2824" t="s">
        <v>741</v>
      </c>
      <c r="E2824" t="s">
        <v>742</v>
      </c>
      <c r="F2824" t="s">
        <v>35</v>
      </c>
    </row>
    <row r="2825" spans="1:6" x14ac:dyDescent="0.2">
      <c r="A2825">
        <v>30079970</v>
      </c>
      <c r="B2825">
        <v>2016</v>
      </c>
      <c r="C2825">
        <v>32.144416945698097</v>
      </c>
      <c r="D2825" t="s">
        <v>867</v>
      </c>
      <c r="E2825" t="s">
        <v>18</v>
      </c>
      <c r="F2825" t="s">
        <v>19</v>
      </c>
    </row>
    <row r="2826" spans="1:6" x14ac:dyDescent="0.2">
      <c r="A2826">
        <v>74231529</v>
      </c>
      <c r="B2826">
        <v>2020</v>
      </c>
      <c r="C2826">
        <v>14.303581215232301</v>
      </c>
      <c r="D2826" t="s">
        <v>40</v>
      </c>
      <c r="E2826" t="s">
        <v>41</v>
      </c>
      <c r="F2826" t="s">
        <v>42</v>
      </c>
    </row>
    <row r="2827" spans="1:6" x14ac:dyDescent="0.2">
      <c r="A2827">
        <v>74231529</v>
      </c>
      <c r="B2827">
        <v>2019</v>
      </c>
      <c r="C2827">
        <v>11.7865753297633</v>
      </c>
      <c r="D2827" t="s">
        <v>40</v>
      </c>
      <c r="E2827" t="s">
        <v>41</v>
      </c>
      <c r="F2827" t="s">
        <v>42</v>
      </c>
    </row>
    <row r="2828" spans="1:6" x14ac:dyDescent="0.2">
      <c r="A2828">
        <v>74231529</v>
      </c>
      <c r="B2828">
        <v>2018</v>
      </c>
      <c r="C2828">
        <v>15.608907982258399</v>
      </c>
      <c r="D2828" t="s">
        <v>40</v>
      </c>
      <c r="E2828" t="s">
        <v>41</v>
      </c>
      <c r="F2828" t="s">
        <v>42</v>
      </c>
    </row>
    <row r="2829" spans="1:6" x14ac:dyDescent="0.2">
      <c r="A2829">
        <v>74231529</v>
      </c>
      <c r="B2829">
        <v>2017</v>
      </c>
      <c r="C2829">
        <v>13.6256426033181</v>
      </c>
      <c r="D2829" t="s">
        <v>40</v>
      </c>
      <c r="E2829" t="s">
        <v>41</v>
      </c>
      <c r="F2829" t="s">
        <v>42</v>
      </c>
    </row>
    <row r="2830" spans="1:6" x14ac:dyDescent="0.2">
      <c r="A2830">
        <v>74231529</v>
      </c>
      <c r="B2830">
        <v>2016</v>
      </c>
      <c r="C2830">
        <v>12.0606643205175</v>
      </c>
      <c r="D2830" t="s">
        <v>40</v>
      </c>
      <c r="E2830" t="s">
        <v>41</v>
      </c>
      <c r="F2830" t="s">
        <v>42</v>
      </c>
    </row>
    <row r="2831" spans="1:6" x14ac:dyDescent="0.2">
      <c r="A2831">
        <v>74231529</v>
      </c>
      <c r="B2831">
        <v>2015</v>
      </c>
      <c r="C2831">
        <v>12.0650581531459</v>
      </c>
      <c r="D2831" t="s">
        <v>40</v>
      </c>
      <c r="E2831" t="s">
        <v>41</v>
      </c>
      <c r="F2831" t="s">
        <v>42</v>
      </c>
    </row>
    <row r="2832" spans="1:6" x14ac:dyDescent="0.2">
      <c r="A2832">
        <v>74231529</v>
      </c>
      <c r="B2832">
        <v>2014</v>
      </c>
      <c r="C2832">
        <v>15.8735376855631</v>
      </c>
      <c r="D2832" t="s">
        <v>40</v>
      </c>
      <c r="E2832" t="s">
        <v>41</v>
      </c>
      <c r="F2832" t="s">
        <v>42</v>
      </c>
    </row>
    <row r="2833" spans="1:6" x14ac:dyDescent="0.2">
      <c r="A2833">
        <v>74231529</v>
      </c>
      <c r="B2833">
        <v>2013</v>
      </c>
      <c r="C2833">
        <v>17.367443431273198</v>
      </c>
      <c r="D2833" t="s">
        <v>40</v>
      </c>
      <c r="E2833" t="s">
        <v>41</v>
      </c>
      <c r="F2833" t="s">
        <v>42</v>
      </c>
    </row>
    <row r="2834" spans="1:6" x14ac:dyDescent="0.2">
      <c r="A2834">
        <v>74231529</v>
      </c>
      <c r="B2834">
        <v>2012</v>
      </c>
      <c r="C2834">
        <v>13.629943502824901</v>
      </c>
      <c r="D2834" t="s">
        <v>40</v>
      </c>
      <c r="E2834" t="s">
        <v>41</v>
      </c>
      <c r="F2834" t="s">
        <v>42</v>
      </c>
    </row>
    <row r="2835" spans="1:6" x14ac:dyDescent="0.2">
      <c r="A2835">
        <v>74231529</v>
      </c>
      <c r="B2835">
        <v>2011</v>
      </c>
      <c r="C2835">
        <v>23.631386861313899</v>
      </c>
      <c r="D2835" t="s">
        <v>40</v>
      </c>
      <c r="E2835" t="s">
        <v>41</v>
      </c>
      <c r="F2835" t="s">
        <v>42</v>
      </c>
    </row>
    <row r="2836" spans="1:6" x14ac:dyDescent="0.2">
      <c r="A2836">
        <v>50994433</v>
      </c>
      <c r="B2836">
        <v>2020</v>
      </c>
      <c r="C2836">
        <v>20.9055549253188</v>
      </c>
      <c r="D2836" t="s">
        <v>138</v>
      </c>
      <c r="E2836"/>
      <c r="F2836" t="s">
        <v>139</v>
      </c>
    </row>
    <row r="2837" spans="1:6" x14ac:dyDescent="0.2">
      <c r="A2837">
        <v>50994433</v>
      </c>
      <c r="B2837">
        <v>2019</v>
      </c>
      <c r="C2837">
        <v>21.616776158145399</v>
      </c>
      <c r="D2837" t="s">
        <v>138</v>
      </c>
      <c r="E2837"/>
      <c r="F2837" t="s">
        <v>139</v>
      </c>
    </row>
    <row r="2838" spans="1:6" x14ac:dyDescent="0.2">
      <c r="A2838">
        <v>50994433</v>
      </c>
      <c r="B2838">
        <v>2018</v>
      </c>
      <c r="C2838">
        <v>22.377534871150601</v>
      </c>
      <c r="D2838" t="s">
        <v>138</v>
      </c>
      <c r="E2838"/>
      <c r="F2838" t="s">
        <v>139</v>
      </c>
    </row>
    <row r="2839" spans="1:6" x14ac:dyDescent="0.2">
      <c r="A2839">
        <v>50994433</v>
      </c>
      <c r="B2839">
        <v>2017</v>
      </c>
      <c r="C2839">
        <v>19.7856907321747</v>
      </c>
      <c r="D2839" t="s">
        <v>138</v>
      </c>
      <c r="E2839"/>
      <c r="F2839" t="s">
        <v>139</v>
      </c>
    </row>
    <row r="2840" spans="1:6" x14ac:dyDescent="0.2">
      <c r="A2840">
        <v>50994433</v>
      </c>
      <c r="B2840">
        <v>2016</v>
      </c>
      <c r="C2840">
        <v>17.4790054690909</v>
      </c>
      <c r="D2840" t="s">
        <v>138</v>
      </c>
      <c r="E2840"/>
      <c r="F2840" t="s">
        <v>139</v>
      </c>
    </row>
    <row r="2841" spans="1:6" x14ac:dyDescent="0.2">
      <c r="A2841">
        <v>50994433</v>
      </c>
      <c r="B2841">
        <v>2015</v>
      </c>
      <c r="C2841">
        <v>17.133764706002701</v>
      </c>
      <c r="D2841" t="s">
        <v>138</v>
      </c>
      <c r="E2841"/>
      <c r="F2841" t="s">
        <v>139</v>
      </c>
    </row>
    <row r="2842" spans="1:6" x14ac:dyDescent="0.2">
      <c r="A2842">
        <v>50994433</v>
      </c>
      <c r="B2842">
        <v>2014</v>
      </c>
      <c r="C2842">
        <v>20.938481863798099</v>
      </c>
      <c r="D2842" t="s">
        <v>138</v>
      </c>
      <c r="E2842"/>
      <c r="F2842" t="s">
        <v>139</v>
      </c>
    </row>
    <row r="2843" spans="1:6" x14ac:dyDescent="0.2">
      <c r="A2843">
        <v>50994433</v>
      </c>
      <c r="B2843">
        <v>2013</v>
      </c>
      <c r="C2843">
        <v>21.656534954407299</v>
      </c>
      <c r="D2843" t="s">
        <v>138</v>
      </c>
      <c r="E2843"/>
      <c r="F2843" t="s">
        <v>139</v>
      </c>
    </row>
    <row r="2844" spans="1:6" x14ac:dyDescent="0.2">
      <c r="A2844">
        <v>50994433</v>
      </c>
      <c r="B2844">
        <v>2012</v>
      </c>
      <c r="C2844">
        <v>22.382478632478598</v>
      </c>
      <c r="D2844" t="s">
        <v>138</v>
      </c>
      <c r="E2844"/>
      <c r="F2844" t="s">
        <v>139</v>
      </c>
    </row>
    <row r="2845" spans="1:6" x14ac:dyDescent="0.2">
      <c r="A2845">
        <v>50994433</v>
      </c>
      <c r="B2845">
        <v>2011</v>
      </c>
      <c r="C2845">
        <v>28.659611992945301</v>
      </c>
      <c r="D2845" t="s">
        <v>138</v>
      </c>
      <c r="E2845"/>
      <c r="F2845" t="s">
        <v>139</v>
      </c>
    </row>
    <row r="2846" spans="1:6" x14ac:dyDescent="0.2">
      <c r="A2846">
        <v>29462173</v>
      </c>
      <c r="B2846">
        <v>2020</v>
      </c>
      <c r="C2846">
        <v>50.629919719933497</v>
      </c>
      <c r="D2846" t="s">
        <v>426</v>
      </c>
      <c r="E2846" t="s">
        <v>427</v>
      </c>
      <c r="F2846" t="s">
        <v>428</v>
      </c>
    </row>
    <row r="2847" spans="1:6" x14ac:dyDescent="0.2">
      <c r="A2847">
        <v>29462173</v>
      </c>
      <c r="B2847">
        <v>2019</v>
      </c>
      <c r="C2847">
        <v>62.700000987567002</v>
      </c>
      <c r="D2847" t="s">
        <v>426</v>
      </c>
      <c r="E2847" t="s">
        <v>427</v>
      </c>
      <c r="F2847" t="s">
        <v>428</v>
      </c>
    </row>
    <row r="2848" spans="1:6" x14ac:dyDescent="0.2">
      <c r="A2848">
        <v>29462173</v>
      </c>
      <c r="B2848">
        <v>2018</v>
      </c>
      <c r="C2848">
        <v>84.351598376384601</v>
      </c>
      <c r="D2848" t="s">
        <v>426</v>
      </c>
      <c r="E2848" t="s">
        <v>427</v>
      </c>
      <c r="F2848" t="s">
        <v>428</v>
      </c>
    </row>
    <row r="2849" spans="1:6" x14ac:dyDescent="0.2">
      <c r="A2849">
        <v>29462173</v>
      </c>
      <c r="B2849">
        <v>2017</v>
      </c>
      <c r="C2849">
        <v>82.048760577164202</v>
      </c>
      <c r="D2849" t="s">
        <v>426</v>
      </c>
      <c r="E2849" t="s">
        <v>427</v>
      </c>
      <c r="F2849" t="s">
        <v>428</v>
      </c>
    </row>
    <row r="2850" spans="1:6" x14ac:dyDescent="0.2">
      <c r="A2850">
        <v>29462173</v>
      </c>
      <c r="B2850">
        <v>2016</v>
      </c>
      <c r="C2850">
        <v>55.480938072664003</v>
      </c>
      <c r="D2850" t="s">
        <v>426</v>
      </c>
      <c r="E2850" t="s">
        <v>427</v>
      </c>
      <c r="F2850" t="s">
        <v>428</v>
      </c>
    </row>
    <row r="2851" spans="1:6" x14ac:dyDescent="0.2">
      <c r="A2851">
        <v>29462173</v>
      </c>
      <c r="B2851">
        <v>2015</v>
      </c>
      <c r="C2851">
        <v>67.638205153283593</v>
      </c>
      <c r="D2851" t="s">
        <v>426</v>
      </c>
      <c r="E2851" t="s">
        <v>427</v>
      </c>
      <c r="F2851" t="s">
        <v>428</v>
      </c>
    </row>
    <row r="2852" spans="1:6" x14ac:dyDescent="0.2">
      <c r="A2852">
        <v>29462173</v>
      </c>
      <c r="B2852">
        <v>2014</v>
      </c>
      <c r="C2852">
        <v>66.807778806720506</v>
      </c>
      <c r="D2852" t="s">
        <v>426</v>
      </c>
      <c r="E2852" t="s">
        <v>427</v>
      </c>
      <c r="F2852" t="s">
        <v>428</v>
      </c>
    </row>
    <row r="2853" spans="1:6" x14ac:dyDescent="0.2">
      <c r="A2853">
        <v>29462173</v>
      </c>
      <c r="B2853">
        <v>2013</v>
      </c>
      <c r="C2853">
        <v>39.744864148442701</v>
      </c>
      <c r="D2853" t="s">
        <v>426</v>
      </c>
      <c r="E2853" t="s">
        <v>427</v>
      </c>
      <c r="F2853" t="s">
        <v>428</v>
      </c>
    </row>
    <row r="2854" spans="1:6" x14ac:dyDescent="0.2">
      <c r="A2854">
        <v>29462173</v>
      </c>
      <c r="B2854">
        <v>2012</v>
      </c>
      <c r="C2854">
        <v>94.117647058823493</v>
      </c>
      <c r="D2854" t="s">
        <v>426</v>
      </c>
      <c r="E2854" t="s">
        <v>427</v>
      </c>
      <c r="F2854" t="s">
        <v>428</v>
      </c>
    </row>
    <row r="2855" spans="1:6" x14ac:dyDescent="0.2">
      <c r="A2855">
        <v>29462173</v>
      </c>
      <c r="B2855">
        <v>2011</v>
      </c>
      <c r="C2855">
        <v>87.426470588235304</v>
      </c>
      <c r="D2855" t="s">
        <v>426</v>
      </c>
      <c r="E2855" t="s">
        <v>427</v>
      </c>
      <c r="F2855" t="s">
        <v>428</v>
      </c>
    </row>
    <row r="2856" spans="1:6" x14ac:dyDescent="0.2">
      <c r="A2856">
        <v>25123981</v>
      </c>
      <c r="B2856">
        <v>2018</v>
      </c>
      <c r="C2856">
        <v>72.498333333333306</v>
      </c>
      <c r="D2856" t="s">
        <v>593</v>
      </c>
      <c r="E2856" t="s">
        <v>594</v>
      </c>
      <c r="F2856" t="s">
        <v>1126</v>
      </c>
    </row>
    <row r="2857" spans="1:6" x14ac:dyDescent="0.2">
      <c r="A2857">
        <v>25123981</v>
      </c>
      <c r="B2857">
        <v>2017</v>
      </c>
      <c r="C2857">
        <v>79.8333333333333</v>
      </c>
      <c r="D2857" t="s">
        <v>593</v>
      </c>
      <c r="E2857" t="s">
        <v>594</v>
      </c>
      <c r="F2857" t="s">
        <v>1126</v>
      </c>
    </row>
    <row r="2858" spans="1:6" x14ac:dyDescent="0.2">
      <c r="A2858">
        <v>25123981</v>
      </c>
      <c r="B2858">
        <v>2016</v>
      </c>
      <c r="C2858">
        <v>69</v>
      </c>
      <c r="D2858" t="s">
        <v>593</v>
      </c>
      <c r="E2858" t="s">
        <v>594</v>
      </c>
      <c r="F2858" t="s">
        <v>1126</v>
      </c>
    </row>
    <row r="2859" spans="1:6" x14ac:dyDescent="0.2">
      <c r="A2859">
        <v>20494668</v>
      </c>
      <c r="B2859">
        <v>2018</v>
      </c>
      <c r="C2859">
        <v>24.667541626476499</v>
      </c>
      <c r="D2859" t="s">
        <v>440</v>
      </c>
      <c r="E2859" t="s">
        <v>441</v>
      </c>
      <c r="F2859" t="s">
        <v>172</v>
      </c>
    </row>
    <row r="2860" spans="1:6" x14ac:dyDescent="0.2">
      <c r="A2860">
        <v>20494668</v>
      </c>
      <c r="B2860">
        <v>2016</v>
      </c>
      <c r="C2860">
        <v>26.329567651382401</v>
      </c>
      <c r="D2860" t="s">
        <v>440</v>
      </c>
      <c r="E2860" t="s">
        <v>441</v>
      </c>
      <c r="F2860" t="s">
        <v>172</v>
      </c>
    </row>
    <row r="2861" spans="1:6" x14ac:dyDescent="0.2">
      <c r="A2861">
        <v>42766527</v>
      </c>
      <c r="B2861">
        <v>2020</v>
      </c>
      <c r="C2861">
        <v>12.401404151742801</v>
      </c>
      <c r="D2861" t="s">
        <v>202</v>
      </c>
      <c r="E2861" t="s">
        <v>141</v>
      </c>
      <c r="F2861" t="s">
        <v>137</v>
      </c>
    </row>
    <row r="2862" spans="1:6" x14ac:dyDescent="0.2">
      <c r="A2862">
        <v>42766527</v>
      </c>
      <c r="B2862">
        <v>2019</v>
      </c>
      <c r="C2862">
        <v>13.1570707109003</v>
      </c>
      <c r="D2862" t="s">
        <v>202</v>
      </c>
      <c r="E2862" t="s">
        <v>141</v>
      </c>
      <c r="F2862" t="s">
        <v>137</v>
      </c>
    </row>
    <row r="2863" spans="1:6" x14ac:dyDescent="0.2">
      <c r="A2863">
        <v>42766527</v>
      </c>
      <c r="B2863">
        <v>2018</v>
      </c>
      <c r="C2863">
        <v>16.475342872741901</v>
      </c>
      <c r="D2863" t="s">
        <v>202</v>
      </c>
      <c r="E2863" t="s">
        <v>141</v>
      </c>
      <c r="F2863" t="s">
        <v>137</v>
      </c>
    </row>
    <row r="2864" spans="1:6" x14ac:dyDescent="0.2">
      <c r="A2864">
        <v>42766527</v>
      </c>
      <c r="B2864">
        <v>2017</v>
      </c>
      <c r="C2864">
        <v>21.666739217981402</v>
      </c>
      <c r="D2864" t="s">
        <v>202</v>
      </c>
      <c r="E2864" t="s">
        <v>141</v>
      </c>
      <c r="F2864" t="s">
        <v>137</v>
      </c>
    </row>
    <row r="2865" spans="1:6" x14ac:dyDescent="0.2">
      <c r="A2865">
        <v>42766527</v>
      </c>
      <c r="B2865">
        <v>2016</v>
      </c>
      <c r="C2865">
        <v>21.395513456929699</v>
      </c>
      <c r="D2865" t="s">
        <v>202</v>
      </c>
      <c r="E2865" t="s">
        <v>141</v>
      </c>
      <c r="F2865" t="s">
        <v>137</v>
      </c>
    </row>
    <row r="2866" spans="1:6" x14ac:dyDescent="0.2">
      <c r="A2866">
        <v>42766527</v>
      </c>
      <c r="B2866">
        <v>2015</v>
      </c>
      <c r="C2866">
        <v>22.221166044537402</v>
      </c>
      <c r="D2866" t="s">
        <v>202</v>
      </c>
      <c r="E2866" t="s">
        <v>141</v>
      </c>
      <c r="F2866" t="s">
        <v>137</v>
      </c>
    </row>
    <row r="2867" spans="1:6" x14ac:dyDescent="0.2">
      <c r="A2867">
        <v>42766527</v>
      </c>
      <c r="B2867">
        <v>2014</v>
      </c>
      <c r="C2867">
        <v>26.255501347136502</v>
      </c>
      <c r="D2867" t="s">
        <v>202</v>
      </c>
      <c r="E2867" t="s">
        <v>141</v>
      </c>
      <c r="F2867" t="s">
        <v>137</v>
      </c>
    </row>
    <row r="2868" spans="1:6" x14ac:dyDescent="0.2">
      <c r="A2868">
        <v>42766527</v>
      </c>
      <c r="B2868">
        <v>2013</v>
      </c>
      <c r="C2868">
        <v>23.701423624470898</v>
      </c>
      <c r="D2868" t="s">
        <v>202</v>
      </c>
      <c r="E2868" t="s">
        <v>141</v>
      </c>
      <c r="F2868" t="s">
        <v>137</v>
      </c>
    </row>
    <row r="2869" spans="1:6" x14ac:dyDescent="0.2">
      <c r="A2869">
        <v>42766527</v>
      </c>
      <c r="B2869">
        <v>2012</v>
      </c>
      <c r="C2869">
        <v>24.3932254623044</v>
      </c>
      <c r="D2869" t="s">
        <v>202</v>
      </c>
      <c r="E2869" t="s">
        <v>141</v>
      </c>
      <c r="F2869" t="s">
        <v>137</v>
      </c>
    </row>
    <row r="2870" spans="1:6" x14ac:dyDescent="0.2">
      <c r="A2870">
        <v>42766527</v>
      </c>
      <c r="B2870">
        <v>2011</v>
      </c>
      <c r="C2870">
        <v>21.9242501270971</v>
      </c>
      <c r="D2870" t="s">
        <v>202</v>
      </c>
      <c r="E2870" t="s">
        <v>141</v>
      </c>
      <c r="F2870" t="s">
        <v>137</v>
      </c>
    </row>
    <row r="2871" spans="1:6" x14ac:dyDescent="0.2">
      <c r="A2871">
        <v>42766527</v>
      </c>
      <c r="B2871">
        <v>2010</v>
      </c>
      <c r="C2871">
        <v>20.491803278688501</v>
      </c>
      <c r="D2871" t="s">
        <v>202</v>
      </c>
      <c r="E2871" t="s">
        <v>141</v>
      </c>
      <c r="F2871" t="s">
        <v>137</v>
      </c>
    </row>
    <row r="2872" spans="1:6" x14ac:dyDescent="0.2">
      <c r="A2872">
        <v>21736360</v>
      </c>
      <c r="B2872">
        <v>2012</v>
      </c>
      <c r="C2872">
        <v>32.920325527320998</v>
      </c>
      <c r="D2872" t="s">
        <v>852</v>
      </c>
      <c r="E2872" t="s">
        <v>853</v>
      </c>
      <c r="F2872" t="s">
        <v>153</v>
      </c>
    </row>
    <row r="2873" spans="1:6" x14ac:dyDescent="0.2">
      <c r="A2873">
        <v>68197341</v>
      </c>
      <c r="B2873">
        <v>2020</v>
      </c>
      <c r="C2873">
        <v>52.667311592344802</v>
      </c>
      <c r="D2873" t="s">
        <v>305</v>
      </c>
      <c r="E2873" t="s">
        <v>52</v>
      </c>
      <c r="F2873" t="s">
        <v>33</v>
      </c>
    </row>
    <row r="2874" spans="1:6" x14ac:dyDescent="0.2">
      <c r="A2874">
        <v>68197341</v>
      </c>
      <c r="B2874">
        <v>2019</v>
      </c>
      <c r="C2874">
        <v>49.097353082506103</v>
      </c>
      <c r="D2874" t="s">
        <v>305</v>
      </c>
      <c r="E2874" t="s">
        <v>52</v>
      </c>
      <c r="F2874" t="s">
        <v>33</v>
      </c>
    </row>
    <row r="2875" spans="1:6" x14ac:dyDescent="0.2">
      <c r="A2875">
        <v>68197341</v>
      </c>
      <c r="B2875">
        <v>2018</v>
      </c>
      <c r="C2875">
        <v>47.0749116187827</v>
      </c>
      <c r="D2875" t="s">
        <v>305</v>
      </c>
      <c r="E2875" t="s">
        <v>52</v>
      </c>
      <c r="F2875" t="s">
        <v>33</v>
      </c>
    </row>
    <row r="2876" spans="1:6" x14ac:dyDescent="0.2">
      <c r="A2876">
        <v>68197341</v>
      </c>
      <c r="B2876">
        <v>2017</v>
      </c>
      <c r="C2876">
        <v>48.715351270209098</v>
      </c>
      <c r="D2876" t="s">
        <v>305</v>
      </c>
      <c r="E2876" t="s">
        <v>52</v>
      </c>
      <c r="F2876" t="s">
        <v>33</v>
      </c>
    </row>
    <row r="2877" spans="1:6" x14ac:dyDescent="0.2">
      <c r="A2877">
        <v>68197341</v>
      </c>
      <c r="B2877">
        <v>2015</v>
      </c>
      <c r="C2877">
        <v>41.932397959183703</v>
      </c>
      <c r="D2877" t="s">
        <v>305</v>
      </c>
      <c r="E2877" t="s">
        <v>52</v>
      </c>
      <c r="F2877" t="s">
        <v>33</v>
      </c>
    </row>
    <row r="2878" spans="1:6" x14ac:dyDescent="0.2">
      <c r="A2878">
        <v>68197341</v>
      </c>
      <c r="B2878">
        <v>2012</v>
      </c>
      <c r="C2878">
        <v>50.087378640776699</v>
      </c>
      <c r="D2878" t="s">
        <v>305</v>
      </c>
      <c r="E2878" t="s">
        <v>52</v>
      </c>
      <c r="F2878" t="s">
        <v>33</v>
      </c>
    </row>
    <row r="2879" spans="1:6" x14ac:dyDescent="0.2">
      <c r="A2879">
        <v>99733691</v>
      </c>
      <c r="B2879">
        <v>2020</v>
      </c>
      <c r="C2879">
        <v>51.896393827360797</v>
      </c>
      <c r="D2879" t="s">
        <v>178</v>
      </c>
      <c r="E2879" t="s">
        <v>176</v>
      </c>
      <c r="F2879" t="s">
        <v>177</v>
      </c>
    </row>
    <row r="2880" spans="1:6" x14ac:dyDescent="0.2">
      <c r="A2880">
        <v>99733691</v>
      </c>
      <c r="B2880">
        <v>2019</v>
      </c>
      <c r="C2880">
        <v>33.860268268997999</v>
      </c>
      <c r="D2880" t="s">
        <v>178</v>
      </c>
      <c r="E2880" t="s">
        <v>176</v>
      </c>
      <c r="F2880" t="s">
        <v>177</v>
      </c>
    </row>
    <row r="2881" spans="1:6" x14ac:dyDescent="0.2">
      <c r="A2881">
        <v>99733691</v>
      </c>
      <c r="B2881">
        <v>2018</v>
      </c>
      <c r="C2881">
        <v>51.113645001900402</v>
      </c>
      <c r="D2881" t="s">
        <v>178</v>
      </c>
      <c r="E2881" t="s">
        <v>176</v>
      </c>
      <c r="F2881" t="s">
        <v>177</v>
      </c>
    </row>
    <row r="2882" spans="1:6" x14ac:dyDescent="0.2">
      <c r="A2882">
        <v>99733691</v>
      </c>
      <c r="B2882">
        <v>2015</v>
      </c>
      <c r="C2882">
        <v>70.113741406852995</v>
      </c>
      <c r="D2882" t="s">
        <v>178</v>
      </c>
      <c r="E2882" t="s">
        <v>176</v>
      </c>
      <c r="F2882" t="s">
        <v>177</v>
      </c>
    </row>
    <row r="2883" spans="1:6" x14ac:dyDescent="0.2">
      <c r="A2883">
        <v>80877455</v>
      </c>
      <c r="B2883">
        <v>2020</v>
      </c>
      <c r="C2883">
        <v>39.590909090909101</v>
      </c>
      <c r="D2883" t="s">
        <v>328</v>
      </c>
      <c r="E2883" t="s">
        <v>329</v>
      </c>
      <c r="F2883" t="s">
        <v>330</v>
      </c>
    </row>
    <row r="2884" spans="1:6" x14ac:dyDescent="0.2">
      <c r="A2884">
        <v>80877455</v>
      </c>
      <c r="B2884">
        <v>2019</v>
      </c>
      <c r="C2884">
        <v>40.925925925925903</v>
      </c>
      <c r="D2884" t="s">
        <v>328</v>
      </c>
      <c r="E2884" t="s">
        <v>329</v>
      </c>
      <c r="F2884" t="s">
        <v>330</v>
      </c>
    </row>
    <row r="2885" spans="1:6" x14ac:dyDescent="0.2">
      <c r="A2885">
        <v>80877455</v>
      </c>
      <c r="B2885">
        <v>2018</v>
      </c>
      <c r="C2885">
        <v>38.200000000000003</v>
      </c>
      <c r="D2885" t="s">
        <v>328</v>
      </c>
      <c r="E2885" t="s">
        <v>329</v>
      </c>
      <c r="F2885" t="s">
        <v>330</v>
      </c>
    </row>
    <row r="2886" spans="1:6" x14ac:dyDescent="0.2">
      <c r="A2886">
        <v>80877455</v>
      </c>
      <c r="B2886">
        <v>2017</v>
      </c>
      <c r="C2886">
        <v>36.142857142857103</v>
      </c>
      <c r="D2886" t="s">
        <v>328</v>
      </c>
      <c r="E2886" t="s">
        <v>329</v>
      </c>
      <c r="F2886" t="s">
        <v>330</v>
      </c>
    </row>
    <row r="2887" spans="1:6" x14ac:dyDescent="0.2">
      <c r="A2887">
        <v>80877455</v>
      </c>
      <c r="B2887">
        <v>2016</v>
      </c>
      <c r="C2887">
        <v>33.467817622231301</v>
      </c>
      <c r="D2887" t="s">
        <v>328</v>
      </c>
      <c r="E2887" t="s">
        <v>329</v>
      </c>
      <c r="F2887" t="s">
        <v>330</v>
      </c>
    </row>
    <row r="2888" spans="1:6" x14ac:dyDescent="0.2">
      <c r="A2888">
        <v>80877455</v>
      </c>
      <c r="B2888">
        <v>2015</v>
      </c>
      <c r="C2888">
        <v>36.214285714285701</v>
      </c>
      <c r="D2888" t="s">
        <v>328</v>
      </c>
      <c r="E2888" t="s">
        <v>329</v>
      </c>
      <c r="F2888" t="s">
        <v>330</v>
      </c>
    </row>
    <row r="2889" spans="1:6" x14ac:dyDescent="0.2">
      <c r="A2889">
        <v>80877455</v>
      </c>
      <c r="B2889">
        <v>2014</v>
      </c>
      <c r="C2889">
        <v>38.3333333333333</v>
      </c>
      <c r="D2889" t="s">
        <v>328</v>
      </c>
      <c r="E2889" t="s">
        <v>329</v>
      </c>
      <c r="F2889" t="s">
        <v>330</v>
      </c>
    </row>
    <row r="2890" spans="1:6" x14ac:dyDescent="0.2">
      <c r="A2890">
        <v>80877455</v>
      </c>
      <c r="B2890">
        <v>2013</v>
      </c>
      <c r="C2890">
        <v>60</v>
      </c>
      <c r="D2890" t="s">
        <v>328</v>
      </c>
      <c r="E2890" t="s">
        <v>329</v>
      </c>
      <c r="F2890" t="s">
        <v>330</v>
      </c>
    </row>
    <row r="2891" spans="1:6" x14ac:dyDescent="0.2">
      <c r="A2891">
        <v>80877455</v>
      </c>
      <c r="B2891">
        <v>2012</v>
      </c>
      <c r="C2891">
        <v>48.714285714285701</v>
      </c>
      <c r="D2891" t="s">
        <v>328</v>
      </c>
      <c r="E2891" t="s">
        <v>329</v>
      </c>
      <c r="F2891" t="s">
        <v>330</v>
      </c>
    </row>
    <row r="2892" spans="1:6" x14ac:dyDescent="0.2">
      <c r="A2892">
        <v>80877455</v>
      </c>
      <c r="B2892">
        <v>2011</v>
      </c>
      <c r="C2892">
        <v>47</v>
      </c>
      <c r="D2892" t="s">
        <v>328</v>
      </c>
      <c r="E2892" t="s">
        <v>329</v>
      </c>
      <c r="F2892" t="s">
        <v>330</v>
      </c>
    </row>
    <row r="2893" spans="1:6" x14ac:dyDescent="0.2">
      <c r="A2893">
        <v>56243523</v>
      </c>
      <c r="B2893">
        <v>2020</v>
      </c>
      <c r="C2893">
        <v>30.640308919679899</v>
      </c>
      <c r="D2893" t="s">
        <v>370</v>
      </c>
      <c r="E2893" t="s">
        <v>371</v>
      </c>
      <c r="F2893" t="s">
        <v>372</v>
      </c>
    </row>
    <row r="2894" spans="1:6" x14ac:dyDescent="0.2">
      <c r="A2894">
        <v>56243523</v>
      </c>
      <c r="B2894">
        <v>2019</v>
      </c>
      <c r="C2894">
        <v>33.009157164168201</v>
      </c>
      <c r="D2894" t="s">
        <v>370</v>
      </c>
      <c r="E2894" t="s">
        <v>371</v>
      </c>
      <c r="F2894" t="s">
        <v>372</v>
      </c>
    </row>
    <row r="2895" spans="1:6" x14ac:dyDescent="0.2">
      <c r="A2895">
        <v>56243523</v>
      </c>
      <c r="B2895">
        <v>2018</v>
      </c>
      <c r="C2895">
        <v>34.465360876262601</v>
      </c>
      <c r="D2895" t="s">
        <v>370</v>
      </c>
      <c r="E2895" t="s">
        <v>371</v>
      </c>
      <c r="F2895" t="s">
        <v>372</v>
      </c>
    </row>
    <row r="2896" spans="1:6" x14ac:dyDescent="0.2">
      <c r="A2896">
        <v>56243523</v>
      </c>
      <c r="B2896">
        <v>2017</v>
      </c>
      <c r="C2896">
        <v>21.948933193260402</v>
      </c>
      <c r="D2896" t="s">
        <v>370</v>
      </c>
      <c r="E2896" t="s">
        <v>371</v>
      </c>
      <c r="F2896" t="s">
        <v>372</v>
      </c>
    </row>
    <row r="2897" spans="1:6" x14ac:dyDescent="0.2">
      <c r="A2897">
        <v>56243523</v>
      </c>
      <c r="B2897">
        <v>2016</v>
      </c>
      <c r="C2897">
        <v>23.213156885706301</v>
      </c>
      <c r="D2897" t="s">
        <v>370</v>
      </c>
      <c r="E2897" t="s">
        <v>371</v>
      </c>
      <c r="F2897" t="s">
        <v>372</v>
      </c>
    </row>
    <row r="2898" spans="1:6" x14ac:dyDescent="0.2">
      <c r="A2898">
        <v>56243523</v>
      </c>
      <c r="B2898">
        <v>2015</v>
      </c>
      <c r="C2898">
        <v>26.5875475442928</v>
      </c>
      <c r="D2898" t="s">
        <v>370</v>
      </c>
      <c r="E2898" t="s">
        <v>371</v>
      </c>
      <c r="F2898" t="s">
        <v>372</v>
      </c>
    </row>
    <row r="2899" spans="1:6" x14ac:dyDescent="0.2">
      <c r="A2899">
        <v>11698737</v>
      </c>
      <c r="B2899">
        <v>2019</v>
      </c>
      <c r="C2899">
        <v>10.485877265221101</v>
      </c>
      <c r="D2899" t="s">
        <v>552</v>
      </c>
      <c r="E2899" t="s">
        <v>136</v>
      </c>
      <c r="F2899" t="s">
        <v>137</v>
      </c>
    </row>
    <row r="2900" spans="1:6" x14ac:dyDescent="0.2">
      <c r="A2900">
        <v>70643873</v>
      </c>
      <c r="B2900">
        <v>2020</v>
      </c>
      <c r="C2900">
        <v>58.165833333333303</v>
      </c>
      <c r="D2900" t="s">
        <v>747</v>
      </c>
      <c r="E2900" t="s">
        <v>581</v>
      </c>
      <c r="F2900" t="s">
        <v>1126</v>
      </c>
    </row>
    <row r="2901" spans="1:6" x14ac:dyDescent="0.2">
      <c r="A2901">
        <v>70643873</v>
      </c>
      <c r="B2901">
        <v>2019</v>
      </c>
      <c r="C2901">
        <v>54.8322222222222</v>
      </c>
      <c r="D2901" t="s">
        <v>747</v>
      </c>
      <c r="E2901" t="s">
        <v>581</v>
      </c>
      <c r="F2901" t="s">
        <v>1126</v>
      </c>
    </row>
    <row r="2902" spans="1:6" x14ac:dyDescent="0.2">
      <c r="A2902">
        <v>70643873</v>
      </c>
      <c r="B2902">
        <v>2018</v>
      </c>
      <c r="C2902">
        <v>57.408636363636397</v>
      </c>
      <c r="D2902" t="s">
        <v>747</v>
      </c>
      <c r="E2902" t="s">
        <v>581</v>
      </c>
      <c r="F2902" t="s">
        <v>1126</v>
      </c>
    </row>
    <row r="2903" spans="1:6" x14ac:dyDescent="0.2">
      <c r="A2903">
        <v>70643873</v>
      </c>
      <c r="B2903">
        <v>2017</v>
      </c>
      <c r="C2903">
        <v>56.7368421052632</v>
      </c>
      <c r="D2903" t="s">
        <v>747</v>
      </c>
      <c r="E2903" t="s">
        <v>581</v>
      </c>
      <c r="F2903" t="s">
        <v>1126</v>
      </c>
    </row>
    <row r="2904" spans="1:6" x14ac:dyDescent="0.2">
      <c r="A2904">
        <v>70643873</v>
      </c>
      <c r="B2904">
        <v>2016</v>
      </c>
      <c r="C2904">
        <v>48.210526315789501</v>
      </c>
      <c r="D2904" t="s">
        <v>747</v>
      </c>
      <c r="E2904" t="s">
        <v>581</v>
      </c>
      <c r="F2904" t="s">
        <v>1126</v>
      </c>
    </row>
    <row r="2905" spans="1:6" x14ac:dyDescent="0.2">
      <c r="A2905">
        <v>70643873</v>
      </c>
      <c r="B2905">
        <v>2015</v>
      </c>
      <c r="C2905">
        <v>46.243333333333297</v>
      </c>
      <c r="D2905" t="s">
        <v>747</v>
      </c>
      <c r="E2905" t="s">
        <v>581</v>
      </c>
      <c r="F2905" t="s">
        <v>1126</v>
      </c>
    </row>
    <row r="2906" spans="1:6" x14ac:dyDescent="0.2">
      <c r="A2906">
        <v>70643873</v>
      </c>
      <c r="B2906">
        <v>2014</v>
      </c>
      <c r="C2906">
        <v>55</v>
      </c>
      <c r="D2906" t="s">
        <v>747</v>
      </c>
      <c r="E2906" t="s">
        <v>581</v>
      </c>
      <c r="F2906" t="s">
        <v>1126</v>
      </c>
    </row>
    <row r="2907" spans="1:6" x14ac:dyDescent="0.2">
      <c r="A2907">
        <v>70643873</v>
      </c>
      <c r="B2907">
        <v>2013</v>
      </c>
      <c r="C2907">
        <v>41.8</v>
      </c>
      <c r="D2907" t="s">
        <v>747</v>
      </c>
      <c r="E2907" t="s">
        <v>581</v>
      </c>
      <c r="F2907" t="s">
        <v>1126</v>
      </c>
    </row>
    <row r="2908" spans="1:6" x14ac:dyDescent="0.2">
      <c r="A2908">
        <v>70643873</v>
      </c>
      <c r="B2908">
        <v>2012</v>
      </c>
      <c r="C2908">
        <v>42</v>
      </c>
      <c r="D2908" t="s">
        <v>747</v>
      </c>
      <c r="E2908" t="s">
        <v>581</v>
      </c>
      <c r="F2908" t="s">
        <v>1126</v>
      </c>
    </row>
    <row r="2909" spans="1:6" x14ac:dyDescent="0.2">
      <c r="A2909">
        <v>14355618</v>
      </c>
      <c r="B2909">
        <v>2019</v>
      </c>
      <c r="C2909">
        <v>27.783673233131999</v>
      </c>
      <c r="D2909" t="s">
        <v>1016</v>
      </c>
      <c r="E2909" t="s">
        <v>1017</v>
      </c>
      <c r="F2909" t="s">
        <v>144</v>
      </c>
    </row>
    <row r="2910" spans="1:6" x14ac:dyDescent="0.2">
      <c r="A2910">
        <v>14355618</v>
      </c>
      <c r="B2910">
        <v>2018</v>
      </c>
      <c r="C2910">
        <v>30.399372931088799</v>
      </c>
      <c r="D2910" t="s">
        <v>1016</v>
      </c>
      <c r="E2910" t="s">
        <v>1017</v>
      </c>
      <c r="F2910" t="s">
        <v>144</v>
      </c>
    </row>
    <row r="2911" spans="1:6" x14ac:dyDescent="0.2">
      <c r="A2911">
        <v>14355618</v>
      </c>
      <c r="B2911">
        <v>2017</v>
      </c>
      <c r="C2911">
        <v>29.108414454757401</v>
      </c>
      <c r="D2911" t="s">
        <v>1016</v>
      </c>
      <c r="E2911" t="s">
        <v>1017</v>
      </c>
      <c r="F2911" t="s">
        <v>144</v>
      </c>
    </row>
    <row r="2912" spans="1:6" x14ac:dyDescent="0.2">
      <c r="A2912">
        <v>14355618</v>
      </c>
      <c r="B2912">
        <v>2016</v>
      </c>
      <c r="C2912">
        <v>21.1537959311588</v>
      </c>
      <c r="D2912" t="s">
        <v>1016</v>
      </c>
      <c r="E2912" t="s">
        <v>1017</v>
      </c>
      <c r="F2912" t="s">
        <v>144</v>
      </c>
    </row>
    <row r="2913" spans="1:6" x14ac:dyDescent="0.2">
      <c r="A2913">
        <v>99613944</v>
      </c>
      <c r="B2913">
        <v>2020</v>
      </c>
      <c r="C2913">
        <v>24.242795262595202</v>
      </c>
      <c r="D2913" t="s">
        <v>896</v>
      </c>
      <c r="E2913" t="s">
        <v>547</v>
      </c>
      <c r="F2913" t="s">
        <v>170</v>
      </c>
    </row>
    <row r="2914" spans="1:6" x14ac:dyDescent="0.2">
      <c r="A2914">
        <v>99613944</v>
      </c>
      <c r="B2914">
        <v>2019</v>
      </c>
      <c r="C2914">
        <v>20.427618139724899</v>
      </c>
      <c r="D2914" t="s">
        <v>896</v>
      </c>
      <c r="E2914" t="s">
        <v>547</v>
      </c>
      <c r="F2914" t="s">
        <v>170</v>
      </c>
    </row>
    <row r="2915" spans="1:6" x14ac:dyDescent="0.2">
      <c r="A2915">
        <v>99613944</v>
      </c>
      <c r="B2915">
        <v>2018</v>
      </c>
      <c r="C2915">
        <v>20.215133122164801</v>
      </c>
      <c r="D2915" t="s">
        <v>896</v>
      </c>
      <c r="E2915" t="s">
        <v>547</v>
      </c>
      <c r="F2915" t="s">
        <v>170</v>
      </c>
    </row>
    <row r="2916" spans="1:6" x14ac:dyDescent="0.2">
      <c r="A2916">
        <v>99613944</v>
      </c>
      <c r="B2916">
        <v>2013</v>
      </c>
      <c r="C2916">
        <v>46.267735965453397</v>
      </c>
      <c r="D2916" t="s">
        <v>896</v>
      </c>
      <c r="E2916" t="s">
        <v>547</v>
      </c>
      <c r="F2916" t="s">
        <v>170</v>
      </c>
    </row>
    <row r="2917" spans="1:6" x14ac:dyDescent="0.2">
      <c r="A2917">
        <v>54872082</v>
      </c>
      <c r="B2917">
        <v>2020</v>
      </c>
      <c r="C2917">
        <v>44.5772405945118</v>
      </c>
      <c r="D2917" t="s">
        <v>960</v>
      </c>
      <c r="E2917" t="s">
        <v>18</v>
      </c>
      <c r="F2917" t="s">
        <v>19</v>
      </c>
    </row>
    <row r="2918" spans="1:6" x14ac:dyDescent="0.2">
      <c r="A2918">
        <v>54872082</v>
      </c>
      <c r="B2918">
        <v>2019</v>
      </c>
      <c r="C2918">
        <v>50.050556117290199</v>
      </c>
      <c r="D2918" t="s">
        <v>960</v>
      </c>
      <c r="E2918" t="s">
        <v>18</v>
      </c>
      <c r="F2918" t="s">
        <v>19</v>
      </c>
    </row>
    <row r="2919" spans="1:6" x14ac:dyDescent="0.2">
      <c r="A2919">
        <v>54872082</v>
      </c>
      <c r="B2919">
        <v>2018</v>
      </c>
      <c r="C2919">
        <v>33.156190857644603</v>
      </c>
      <c r="D2919" t="s">
        <v>960</v>
      </c>
      <c r="E2919" t="s">
        <v>18</v>
      </c>
      <c r="F2919" t="s">
        <v>19</v>
      </c>
    </row>
    <row r="2920" spans="1:6" x14ac:dyDescent="0.2">
      <c r="A2920">
        <v>54872082</v>
      </c>
      <c r="B2920">
        <v>2017</v>
      </c>
      <c r="C2920">
        <v>34.658511722731902</v>
      </c>
      <c r="D2920" t="s">
        <v>960</v>
      </c>
      <c r="E2920" t="s">
        <v>18</v>
      </c>
      <c r="F2920" t="s">
        <v>19</v>
      </c>
    </row>
    <row r="2921" spans="1:6" x14ac:dyDescent="0.2">
      <c r="A2921">
        <v>54872082</v>
      </c>
      <c r="B2921">
        <v>2016</v>
      </c>
      <c r="C2921">
        <v>27.165526277478499</v>
      </c>
      <c r="D2921" t="s">
        <v>960</v>
      </c>
      <c r="E2921" t="s">
        <v>18</v>
      </c>
      <c r="F2921" t="s">
        <v>19</v>
      </c>
    </row>
    <row r="2922" spans="1:6" x14ac:dyDescent="0.2">
      <c r="A2922">
        <v>54872082</v>
      </c>
      <c r="B2922">
        <v>2012</v>
      </c>
      <c r="C2922">
        <v>34.607692307692297</v>
      </c>
      <c r="D2922" t="s">
        <v>960</v>
      </c>
      <c r="E2922" t="s">
        <v>18</v>
      </c>
      <c r="F2922" t="s">
        <v>19</v>
      </c>
    </row>
    <row r="2923" spans="1:6" x14ac:dyDescent="0.2">
      <c r="A2923">
        <v>77771252</v>
      </c>
      <c r="B2923">
        <v>2020</v>
      </c>
      <c r="C2923">
        <v>20.735381633842099</v>
      </c>
      <c r="D2923" t="s">
        <v>808</v>
      </c>
      <c r="E2923" t="s">
        <v>809</v>
      </c>
      <c r="F2923" t="s">
        <v>35</v>
      </c>
    </row>
    <row r="2924" spans="1:6" x14ac:dyDescent="0.2">
      <c r="A2924">
        <v>77771252</v>
      </c>
      <c r="B2924">
        <v>2019</v>
      </c>
      <c r="C2924">
        <v>30.6458736792036</v>
      </c>
      <c r="D2924" t="s">
        <v>808</v>
      </c>
      <c r="E2924" t="s">
        <v>809</v>
      </c>
      <c r="F2924" t="s">
        <v>35</v>
      </c>
    </row>
    <row r="2925" spans="1:6" x14ac:dyDescent="0.2">
      <c r="A2925">
        <v>77771252</v>
      </c>
      <c r="B2925">
        <v>2018</v>
      </c>
      <c r="C2925">
        <v>36.078136470251202</v>
      </c>
      <c r="D2925" t="s">
        <v>808</v>
      </c>
      <c r="E2925" t="s">
        <v>809</v>
      </c>
      <c r="F2925" t="s">
        <v>35</v>
      </c>
    </row>
    <row r="2926" spans="1:6" x14ac:dyDescent="0.2">
      <c r="A2926">
        <v>77771252</v>
      </c>
      <c r="B2926">
        <v>2017</v>
      </c>
      <c r="C2926">
        <v>36.102977987469103</v>
      </c>
      <c r="D2926" t="s">
        <v>808</v>
      </c>
      <c r="E2926" t="s">
        <v>809</v>
      </c>
      <c r="F2926" t="s">
        <v>35</v>
      </c>
    </row>
    <row r="2927" spans="1:6" x14ac:dyDescent="0.2">
      <c r="A2927">
        <v>77771252</v>
      </c>
      <c r="B2927">
        <v>2016</v>
      </c>
      <c r="C2927">
        <v>24.829114802889301</v>
      </c>
      <c r="D2927" t="s">
        <v>808</v>
      </c>
      <c r="E2927" t="s">
        <v>809</v>
      </c>
      <c r="F2927" t="s">
        <v>35</v>
      </c>
    </row>
    <row r="2928" spans="1:6" x14ac:dyDescent="0.2">
      <c r="A2928">
        <v>77771252</v>
      </c>
      <c r="B2928">
        <v>2015</v>
      </c>
      <c r="C2928">
        <v>26.2448351510312</v>
      </c>
      <c r="D2928" t="s">
        <v>808</v>
      </c>
      <c r="E2928" t="s">
        <v>809</v>
      </c>
      <c r="F2928" t="s">
        <v>35</v>
      </c>
    </row>
    <row r="2929" spans="1:6" x14ac:dyDescent="0.2">
      <c r="A2929">
        <v>77771252</v>
      </c>
      <c r="B2929">
        <v>2014</v>
      </c>
      <c r="C2929">
        <v>31.119762616572199</v>
      </c>
      <c r="D2929" t="s">
        <v>808</v>
      </c>
      <c r="E2929" t="s">
        <v>809</v>
      </c>
      <c r="F2929" t="s">
        <v>35</v>
      </c>
    </row>
    <row r="2930" spans="1:6" x14ac:dyDescent="0.2">
      <c r="A2930">
        <v>54034620</v>
      </c>
      <c r="B2930">
        <v>2020</v>
      </c>
      <c r="C2930">
        <v>56.236742115200798</v>
      </c>
      <c r="D2930" t="s">
        <v>606</v>
      </c>
      <c r="E2930" t="s">
        <v>607</v>
      </c>
      <c r="F2930" t="s">
        <v>33</v>
      </c>
    </row>
    <row r="2931" spans="1:6" x14ac:dyDescent="0.2">
      <c r="A2931">
        <v>54034620</v>
      </c>
      <c r="B2931">
        <v>2018</v>
      </c>
      <c r="C2931">
        <v>65.337662167282602</v>
      </c>
      <c r="D2931" t="s">
        <v>606</v>
      </c>
      <c r="E2931" t="s">
        <v>607</v>
      </c>
      <c r="F2931" t="s">
        <v>33</v>
      </c>
    </row>
    <row r="2932" spans="1:6" x14ac:dyDescent="0.2">
      <c r="A2932">
        <v>54034620</v>
      </c>
      <c r="B2932">
        <v>2015</v>
      </c>
      <c r="C2932">
        <v>56.069302721088398</v>
      </c>
      <c r="D2932" t="s">
        <v>606</v>
      </c>
      <c r="E2932" t="s">
        <v>607</v>
      </c>
      <c r="F2932" t="s">
        <v>33</v>
      </c>
    </row>
    <row r="2933" spans="1:6" x14ac:dyDescent="0.2">
      <c r="A2933">
        <v>51948401</v>
      </c>
      <c r="B2933">
        <v>2016</v>
      </c>
      <c r="C2933">
        <v>39.997999999999998</v>
      </c>
      <c r="D2933" t="s">
        <v>1074</v>
      </c>
      <c r="E2933" t="s">
        <v>5</v>
      </c>
      <c r="F2933" t="s">
        <v>1126</v>
      </c>
    </row>
    <row r="2934" spans="1:6" x14ac:dyDescent="0.2">
      <c r="A2934">
        <v>15490840</v>
      </c>
      <c r="B2934">
        <v>2019</v>
      </c>
      <c r="C2934">
        <v>75</v>
      </c>
      <c r="D2934" t="s">
        <v>1040</v>
      </c>
      <c r="E2934" t="s">
        <v>445</v>
      </c>
      <c r="F2934" t="s">
        <v>1126</v>
      </c>
    </row>
    <row r="2935" spans="1:6" x14ac:dyDescent="0.2">
      <c r="A2935">
        <v>15490840</v>
      </c>
      <c r="B2935">
        <v>2018</v>
      </c>
      <c r="C2935">
        <v>63</v>
      </c>
      <c r="D2935" t="s">
        <v>1040</v>
      </c>
      <c r="E2935" t="s">
        <v>445</v>
      </c>
      <c r="F2935" t="s">
        <v>1126</v>
      </c>
    </row>
    <row r="2936" spans="1:6" x14ac:dyDescent="0.2">
      <c r="A2936">
        <v>58769356</v>
      </c>
      <c r="B2936">
        <v>2020</v>
      </c>
      <c r="C2936">
        <v>49.5349541947365</v>
      </c>
      <c r="D2936" t="s">
        <v>295</v>
      </c>
      <c r="E2936" t="s">
        <v>296</v>
      </c>
      <c r="F2936" t="s">
        <v>33</v>
      </c>
    </row>
    <row r="2937" spans="1:6" x14ac:dyDescent="0.2">
      <c r="A2937">
        <v>58769356</v>
      </c>
      <c r="B2937">
        <v>2019</v>
      </c>
      <c r="C2937">
        <v>55.349346672609002</v>
      </c>
      <c r="D2937" t="s">
        <v>295</v>
      </c>
      <c r="E2937" t="s">
        <v>296</v>
      </c>
      <c r="F2937" t="s">
        <v>33</v>
      </c>
    </row>
    <row r="2938" spans="1:6" x14ac:dyDescent="0.2">
      <c r="A2938">
        <v>58769356</v>
      </c>
      <c r="B2938">
        <v>2018</v>
      </c>
      <c r="C2938">
        <v>54.910440623745203</v>
      </c>
      <c r="D2938" t="s">
        <v>295</v>
      </c>
      <c r="E2938" t="s">
        <v>296</v>
      </c>
      <c r="F2938" t="s">
        <v>33</v>
      </c>
    </row>
    <row r="2939" spans="1:6" x14ac:dyDescent="0.2">
      <c r="A2939">
        <v>58769356</v>
      </c>
      <c r="B2939">
        <v>2017</v>
      </c>
      <c r="C2939">
        <v>43.0530056182347</v>
      </c>
      <c r="D2939" t="s">
        <v>295</v>
      </c>
      <c r="E2939" t="s">
        <v>296</v>
      </c>
      <c r="F2939" t="s">
        <v>33</v>
      </c>
    </row>
    <row r="2940" spans="1:6" x14ac:dyDescent="0.2">
      <c r="A2940">
        <v>58769356</v>
      </c>
      <c r="B2940">
        <v>2015</v>
      </c>
      <c r="C2940">
        <v>34.164313046647202</v>
      </c>
      <c r="D2940" t="s">
        <v>295</v>
      </c>
      <c r="E2940" t="s">
        <v>296</v>
      </c>
      <c r="F2940" t="s">
        <v>33</v>
      </c>
    </row>
    <row r="2941" spans="1:6" x14ac:dyDescent="0.2">
      <c r="A2941">
        <v>58769356</v>
      </c>
      <c r="B2941">
        <v>2013</v>
      </c>
      <c r="C2941">
        <v>62.5</v>
      </c>
      <c r="D2941" t="s">
        <v>295</v>
      </c>
      <c r="E2941" t="s">
        <v>296</v>
      </c>
      <c r="F2941" t="s">
        <v>33</v>
      </c>
    </row>
    <row r="2942" spans="1:6" x14ac:dyDescent="0.2">
      <c r="A2942">
        <v>58769356</v>
      </c>
      <c r="B2942">
        <v>2012</v>
      </c>
      <c r="C2942">
        <v>38.834951456310698</v>
      </c>
      <c r="D2942" t="s">
        <v>295</v>
      </c>
      <c r="E2942" t="s">
        <v>296</v>
      </c>
      <c r="F2942" t="s">
        <v>33</v>
      </c>
    </row>
    <row r="2943" spans="1:6" x14ac:dyDescent="0.2">
      <c r="A2943">
        <v>64680858</v>
      </c>
      <c r="B2943">
        <v>2019</v>
      </c>
      <c r="C2943">
        <v>25.502399128403699</v>
      </c>
      <c r="D2943" t="s">
        <v>91</v>
      </c>
      <c r="E2943"/>
      <c r="F2943" t="s">
        <v>28</v>
      </c>
    </row>
    <row r="2944" spans="1:6" x14ac:dyDescent="0.2">
      <c r="A2944">
        <v>64680858</v>
      </c>
      <c r="B2944">
        <v>2018</v>
      </c>
      <c r="C2944">
        <v>30.363190470629501</v>
      </c>
      <c r="D2944" t="s">
        <v>91</v>
      </c>
      <c r="E2944"/>
      <c r="F2944" t="s">
        <v>28</v>
      </c>
    </row>
    <row r="2945" spans="1:6" x14ac:dyDescent="0.2">
      <c r="A2945">
        <v>48456520</v>
      </c>
      <c r="B2945">
        <v>2020</v>
      </c>
      <c r="C2945">
        <v>59.846153846153797</v>
      </c>
      <c r="D2945" t="s">
        <v>819</v>
      </c>
      <c r="E2945" t="s">
        <v>624</v>
      </c>
      <c r="F2945" t="s">
        <v>1126</v>
      </c>
    </row>
    <row r="2946" spans="1:6" x14ac:dyDescent="0.2">
      <c r="A2946">
        <v>48456520</v>
      </c>
      <c r="B2946">
        <v>2019</v>
      </c>
      <c r="C2946">
        <v>59.1666666666667</v>
      </c>
      <c r="D2946" t="s">
        <v>819</v>
      </c>
      <c r="E2946" t="s">
        <v>624</v>
      </c>
      <c r="F2946" t="s">
        <v>1126</v>
      </c>
    </row>
    <row r="2947" spans="1:6" x14ac:dyDescent="0.2">
      <c r="A2947">
        <v>48456520</v>
      </c>
      <c r="B2947">
        <v>2018</v>
      </c>
      <c r="C2947">
        <v>62.881176470588201</v>
      </c>
      <c r="D2947" t="s">
        <v>819</v>
      </c>
      <c r="E2947" t="s">
        <v>624</v>
      </c>
      <c r="F2947" t="s">
        <v>1126</v>
      </c>
    </row>
    <row r="2948" spans="1:6" x14ac:dyDescent="0.2">
      <c r="A2948">
        <v>48456520</v>
      </c>
      <c r="B2948">
        <v>2017</v>
      </c>
      <c r="C2948">
        <v>49.845384615384603</v>
      </c>
      <c r="D2948" t="s">
        <v>819</v>
      </c>
      <c r="E2948" t="s">
        <v>624</v>
      </c>
      <c r="F2948" t="s">
        <v>1126</v>
      </c>
    </row>
    <row r="2949" spans="1:6" x14ac:dyDescent="0.2">
      <c r="A2949">
        <v>48456520</v>
      </c>
      <c r="B2949">
        <v>2016</v>
      </c>
      <c r="C2949">
        <v>46.5555555555556</v>
      </c>
      <c r="D2949" t="s">
        <v>819</v>
      </c>
      <c r="E2949" t="s">
        <v>624</v>
      </c>
      <c r="F2949" t="s">
        <v>1126</v>
      </c>
    </row>
    <row r="2950" spans="1:6" x14ac:dyDescent="0.2">
      <c r="A2950">
        <v>48456520</v>
      </c>
      <c r="B2950">
        <v>2015</v>
      </c>
      <c r="C2950">
        <v>48.098999999999997</v>
      </c>
      <c r="D2950" t="s">
        <v>819</v>
      </c>
      <c r="E2950" t="s">
        <v>624</v>
      </c>
      <c r="F2950" t="s">
        <v>1126</v>
      </c>
    </row>
    <row r="2951" spans="1:6" x14ac:dyDescent="0.2">
      <c r="A2951">
        <v>48456520</v>
      </c>
      <c r="B2951">
        <v>2014</v>
      </c>
      <c r="C2951">
        <v>24</v>
      </c>
      <c r="D2951" t="s">
        <v>819</v>
      </c>
      <c r="E2951" t="s">
        <v>624</v>
      </c>
      <c r="F2951" t="s">
        <v>1126</v>
      </c>
    </row>
    <row r="2952" spans="1:6" x14ac:dyDescent="0.2">
      <c r="A2952">
        <v>74672282</v>
      </c>
      <c r="B2952">
        <v>2020</v>
      </c>
      <c r="C2952">
        <v>67.094300670942999</v>
      </c>
      <c r="D2952" t="s">
        <v>233</v>
      </c>
      <c r="E2952"/>
      <c r="F2952" t="s">
        <v>234</v>
      </c>
    </row>
    <row r="2953" spans="1:6" x14ac:dyDescent="0.2">
      <c r="A2953">
        <v>74672282</v>
      </c>
      <c r="B2953">
        <v>2019</v>
      </c>
      <c r="C2953">
        <v>65.736168389838994</v>
      </c>
      <c r="D2953" t="s">
        <v>233</v>
      </c>
      <c r="E2953"/>
      <c r="F2953" t="s">
        <v>234</v>
      </c>
    </row>
    <row r="2954" spans="1:6" x14ac:dyDescent="0.2">
      <c r="A2954">
        <v>74672282</v>
      </c>
      <c r="B2954">
        <v>2018</v>
      </c>
      <c r="C2954">
        <v>68.283680760682998</v>
      </c>
      <c r="D2954" t="s">
        <v>233</v>
      </c>
      <c r="E2954"/>
      <c r="F2954" t="s">
        <v>234</v>
      </c>
    </row>
    <row r="2955" spans="1:6" x14ac:dyDescent="0.2">
      <c r="A2955">
        <v>74672282</v>
      </c>
      <c r="B2955">
        <v>2017</v>
      </c>
      <c r="C2955">
        <v>62.07775458359</v>
      </c>
      <c r="D2955" t="s">
        <v>233</v>
      </c>
      <c r="E2955"/>
      <c r="F2955" t="s">
        <v>234</v>
      </c>
    </row>
    <row r="2956" spans="1:6" x14ac:dyDescent="0.2">
      <c r="A2956">
        <v>74672282</v>
      </c>
      <c r="B2956">
        <v>2016</v>
      </c>
      <c r="C2956">
        <v>56.014745955932398</v>
      </c>
      <c r="D2956" t="s">
        <v>233</v>
      </c>
      <c r="E2956"/>
      <c r="F2956" t="s">
        <v>234</v>
      </c>
    </row>
    <row r="2957" spans="1:6" x14ac:dyDescent="0.2">
      <c r="A2957">
        <v>74672282</v>
      </c>
      <c r="B2957">
        <v>2015</v>
      </c>
      <c r="C2957">
        <v>61.173882928944202</v>
      </c>
      <c r="D2957" t="s">
        <v>233</v>
      </c>
      <c r="E2957"/>
      <c r="F2957" t="s">
        <v>234</v>
      </c>
    </row>
    <row r="2958" spans="1:6" x14ac:dyDescent="0.2">
      <c r="A2958">
        <v>74672282</v>
      </c>
      <c r="B2958">
        <v>2014</v>
      </c>
      <c r="C2958">
        <v>59.463838562380303</v>
      </c>
      <c r="D2958" t="s">
        <v>233</v>
      </c>
      <c r="E2958"/>
      <c r="F2958" t="s">
        <v>234</v>
      </c>
    </row>
    <row r="2959" spans="1:6" x14ac:dyDescent="0.2">
      <c r="A2959">
        <v>74672282</v>
      </c>
      <c r="B2959">
        <v>2012</v>
      </c>
      <c r="C2959">
        <v>50.511349463706701</v>
      </c>
      <c r="D2959" t="s">
        <v>233</v>
      </c>
      <c r="E2959"/>
      <c r="F2959" t="s">
        <v>234</v>
      </c>
    </row>
    <row r="2960" spans="1:6" x14ac:dyDescent="0.2">
      <c r="A2960">
        <v>74672282</v>
      </c>
      <c r="B2960">
        <v>2011</v>
      </c>
      <c r="C2960">
        <v>36.222130423307703</v>
      </c>
      <c r="D2960" t="s">
        <v>233</v>
      </c>
      <c r="E2960"/>
      <c r="F2960" t="s">
        <v>234</v>
      </c>
    </row>
    <row r="2961" spans="1:6" x14ac:dyDescent="0.2">
      <c r="A2961">
        <v>25899152</v>
      </c>
      <c r="B2961">
        <v>2020</v>
      </c>
      <c r="C2961">
        <v>62.5555555555556</v>
      </c>
      <c r="D2961" t="s">
        <v>775</v>
      </c>
      <c r="E2961" t="s">
        <v>25</v>
      </c>
      <c r="F2961" t="s">
        <v>1126</v>
      </c>
    </row>
    <row r="2962" spans="1:6" x14ac:dyDescent="0.2">
      <c r="A2962">
        <v>25899152</v>
      </c>
      <c r="B2962">
        <v>2019</v>
      </c>
      <c r="C2962">
        <v>72.1666666666667</v>
      </c>
      <c r="D2962" t="s">
        <v>775</v>
      </c>
      <c r="E2962" t="s">
        <v>25</v>
      </c>
      <c r="F2962" t="s">
        <v>1126</v>
      </c>
    </row>
    <row r="2963" spans="1:6" x14ac:dyDescent="0.2">
      <c r="A2963">
        <v>25899152</v>
      </c>
      <c r="B2963">
        <v>2018</v>
      </c>
      <c r="C2963">
        <v>49.35</v>
      </c>
      <c r="D2963" t="s">
        <v>775</v>
      </c>
      <c r="E2963" t="s">
        <v>25</v>
      </c>
      <c r="F2963" t="s">
        <v>1126</v>
      </c>
    </row>
    <row r="2964" spans="1:6" x14ac:dyDescent="0.2">
      <c r="A2964">
        <v>25899152</v>
      </c>
      <c r="B2964">
        <v>2017</v>
      </c>
      <c r="C2964">
        <v>75</v>
      </c>
      <c r="D2964" t="s">
        <v>775</v>
      </c>
      <c r="E2964" t="s">
        <v>25</v>
      </c>
      <c r="F2964" t="s">
        <v>1126</v>
      </c>
    </row>
    <row r="2965" spans="1:6" x14ac:dyDescent="0.2">
      <c r="A2965">
        <v>25899152</v>
      </c>
      <c r="B2965">
        <v>2016</v>
      </c>
      <c r="C2965">
        <v>64.845384615384603</v>
      </c>
      <c r="D2965" t="s">
        <v>775</v>
      </c>
      <c r="E2965" t="s">
        <v>25</v>
      </c>
      <c r="F2965" t="s">
        <v>1126</v>
      </c>
    </row>
    <row r="2966" spans="1:6" x14ac:dyDescent="0.2">
      <c r="A2966">
        <v>25899152</v>
      </c>
      <c r="B2966">
        <v>2015</v>
      </c>
      <c r="C2966">
        <v>58</v>
      </c>
      <c r="D2966" t="s">
        <v>775</v>
      </c>
      <c r="E2966" t="s">
        <v>25</v>
      </c>
      <c r="F2966" t="s">
        <v>1126</v>
      </c>
    </row>
    <row r="2967" spans="1:6" x14ac:dyDescent="0.2">
      <c r="A2967">
        <v>25899152</v>
      </c>
      <c r="B2967">
        <v>2014</v>
      </c>
      <c r="C2967">
        <v>70</v>
      </c>
      <c r="D2967" t="s">
        <v>775</v>
      </c>
      <c r="E2967" t="s">
        <v>25</v>
      </c>
      <c r="F2967" t="s">
        <v>1126</v>
      </c>
    </row>
    <row r="2968" spans="1:6" x14ac:dyDescent="0.2">
      <c r="A2968">
        <v>25899152</v>
      </c>
      <c r="B2968">
        <v>2013</v>
      </c>
      <c r="C2968">
        <v>56.6666666666667</v>
      </c>
      <c r="D2968" t="s">
        <v>775</v>
      </c>
      <c r="E2968" t="s">
        <v>25</v>
      </c>
      <c r="F2968" t="s">
        <v>1126</v>
      </c>
    </row>
    <row r="2969" spans="1:6" x14ac:dyDescent="0.2">
      <c r="A2969">
        <v>25899152</v>
      </c>
      <c r="B2969">
        <v>2012</v>
      </c>
      <c r="C2969">
        <v>36.3333333333333</v>
      </c>
      <c r="D2969" t="s">
        <v>775</v>
      </c>
      <c r="E2969" t="s">
        <v>25</v>
      </c>
      <c r="F2969" t="s">
        <v>1126</v>
      </c>
    </row>
    <row r="2970" spans="1:6" x14ac:dyDescent="0.2">
      <c r="A2970">
        <v>25899152</v>
      </c>
      <c r="B2970">
        <v>2010</v>
      </c>
      <c r="C2970">
        <v>34</v>
      </c>
      <c r="D2970" t="s">
        <v>775</v>
      </c>
      <c r="E2970" t="s">
        <v>25</v>
      </c>
      <c r="F2970" t="s">
        <v>1126</v>
      </c>
    </row>
    <row r="2971" spans="1:6" x14ac:dyDescent="0.2">
      <c r="A2971">
        <v>75548846</v>
      </c>
      <c r="B2971">
        <v>2020</v>
      </c>
      <c r="C2971">
        <v>17.501034720415401</v>
      </c>
      <c r="D2971" t="s">
        <v>238</v>
      </c>
      <c r="E2971"/>
      <c r="F2971" t="s">
        <v>239</v>
      </c>
    </row>
    <row r="2972" spans="1:6" x14ac:dyDescent="0.2">
      <c r="A2972">
        <v>75548846</v>
      </c>
      <c r="B2972">
        <v>2019</v>
      </c>
      <c r="C2972">
        <v>17.833597670844998</v>
      </c>
      <c r="D2972" t="s">
        <v>238</v>
      </c>
      <c r="E2972"/>
      <c r="F2972" t="s">
        <v>239</v>
      </c>
    </row>
    <row r="2973" spans="1:6" x14ac:dyDescent="0.2">
      <c r="A2973">
        <v>75548846</v>
      </c>
      <c r="B2973">
        <v>2018</v>
      </c>
      <c r="C2973">
        <v>17.596718644679001</v>
      </c>
      <c r="D2973" t="s">
        <v>238</v>
      </c>
      <c r="E2973"/>
      <c r="F2973" t="s">
        <v>239</v>
      </c>
    </row>
    <row r="2974" spans="1:6" x14ac:dyDescent="0.2">
      <c r="A2974">
        <v>75548846</v>
      </c>
      <c r="B2974">
        <v>2017</v>
      </c>
      <c r="C2974">
        <v>15.4423460012045</v>
      </c>
      <c r="D2974" t="s">
        <v>238</v>
      </c>
      <c r="E2974"/>
      <c r="F2974" t="s">
        <v>239</v>
      </c>
    </row>
    <row r="2975" spans="1:6" x14ac:dyDescent="0.2">
      <c r="A2975">
        <v>75548846</v>
      </c>
      <c r="B2975">
        <v>2016</v>
      </c>
      <c r="C2975">
        <v>13.398544417956399</v>
      </c>
      <c r="D2975" t="s">
        <v>238</v>
      </c>
      <c r="E2975"/>
      <c r="F2975" t="s">
        <v>239</v>
      </c>
    </row>
    <row r="2976" spans="1:6" x14ac:dyDescent="0.2">
      <c r="A2976">
        <v>75548846</v>
      </c>
      <c r="B2976">
        <v>2015</v>
      </c>
      <c r="C2976">
        <v>12.693989071038301</v>
      </c>
      <c r="D2976" t="s">
        <v>238</v>
      </c>
      <c r="E2976"/>
      <c r="F2976" t="s">
        <v>239</v>
      </c>
    </row>
    <row r="2977" spans="1:6" x14ac:dyDescent="0.2">
      <c r="A2977">
        <v>75548846</v>
      </c>
      <c r="B2977">
        <v>2014</v>
      </c>
      <c r="C2977">
        <v>15.2865798889717</v>
      </c>
      <c r="D2977" t="s">
        <v>238</v>
      </c>
      <c r="E2977"/>
      <c r="F2977" t="s">
        <v>239</v>
      </c>
    </row>
    <row r="2978" spans="1:6" x14ac:dyDescent="0.2">
      <c r="A2978">
        <v>75548846</v>
      </c>
      <c r="B2978">
        <v>2013</v>
      </c>
      <c r="C2978">
        <v>18.093234322227499</v>
      </c>
      <c r="D2978" t="s">
        <v>238</v>
      </c>
      <c r="E2978"/>
      <c r="F2978" t="s">
        <v>239</v>
      </c>
    </row>
    <row r="2979" spans="1:6" x14ac:dyDescent="0.2">
      <c r="A2979">
        <v>75548846</v>
      </c>
      <c r="B2979">
        <v>2012</v>
      </c>
      <c r="C2979">
        <v>17.723515932250901</v>
      </c>
      <c r="D2979" t="s">
        <v>238</v>
      </c>
      <c r="E2979"/>
      <c r="F2979" t="s">
        <v>239</v>
      </c>
    </row>
    <row r="2980" spans="1:6" x14ac:dyDescent="0.2">
      <c r="A2980">
        <v>75548846</v>
      </c>
      <c r="B2980">
        <v>2011</v>
      </c>
      <c r="C2980">
        <v>20.557030133475099</v>
      </c>
      <c r="D2980" t="s">
        <v>238</v>
      </c>
      <c r="E2980"/>
      <c r="F2980" t="s">
        <v>239</v>
      </c>
    </row>
    <row r="2981" spans="1:6" x14ac:dyDescent="0.2">
      <c r="A2981">
        <v>24360400</v>
      </c>
      <c r="B2981">
        <v>2020</v>
      </c>
      <c r="C2981">
        <v>24.712532834718601</v>
      </c>
      <c r="D2981" t="s">
        <v>209</v>
      </c>
      <c r="E2981" t="s">
        <v>210</v>
      </c>
      <c r="F2981" t="s">
        <v>172</v>
      </c>
    </row>
    <row r="2982" spans="1:6" x14ac:dyDescent="0.2">
      <c r="A2982">
        <v>24360400</v>
      </c>
      <c r="B2982">
        <v>2018</v>
      </c>
      <c r="C2982">
        <v>25.742793440963901</v>
      </c>
      <c r="D2982" t="s">
        <v>209</v>
      </c>
      <c r="E2982" t="s">
        <v>210</v>
      </c>
      <c r="F2982" t="s">
        <v>172</v>
      </c>
    </row>
    <row r="2983" spans="1:6" x14ac:dyDescent="0.2">
      <c r="A2983">
        <v>24360400</v>
      </c>
      <c r="B2983">
        <v>2017</v>
      </c>
      <c r="C2983">
        <v>26.0620433760031</v>
      </c>
      <c r="D2983" t="s">
        <v>209</v>
      </c>
      <c r="E2983" t="s">
        <v>210</v>
      </c>
      <c r="F2983" t="s">
        <v>172</v>
      </c>
    </row>
    <row r="2984" spans="1:6" x14ac:dyDescent="0.2">
      <c r="A2984">
        <v>24360400</v>
      </c>
      <c r="B2984">
        <v>2016</v>
      </c>
      <c r="C2984">
        <v>25.272357478</v>
      </c>
      <c r="D2984" t="s">
        <v>209</v>
      </c>
      <c r="E2984" t="s">
        <v>210</v>
      </c>
      <c r="F2984" t="s">
        <v>172</v>
      </c>
    </row>
    <row r="2985" spans="1:6" x14ac:dyDescent="0.2">
      <c r="A2985">
        <v>24360400</v>
      </c>
      <c r="B2985">
        <v>2015</v>
      </c>
      <c r="C2985">
        <v>25.014912736439001</v>
      </c>
      <c r="D2985" t="s">
        <v>209</v>
      </c>
      <c r="E2985" t="s">
        <v>210</v>
      </c>
      <c r="F2985" t="s">
        <v>172</v>
      </c>
    </row>
    <row r="2986" spans="1:6" x14ac:dyDescent="0.2">
      <c r="A2986">
        <v>24360400</v>
      </c>
      <c r="B2986">
        <v>2014</v>
      </c>
      <c r="C2986">
        <v>33.523098013157799</v>
      </c>
      <c r="D2986" t="s">
        <v>209</v>
      </c>
      <c r="E2986" t="s">
        <v>210</v>
      </c>
      <c r="F2986" t="s">
        <v>172</v>
      </c>
    </row>
    <row r="2987" spans="1:6" x14ac:dyDescent="0.2">
      <c r="A2987">
        <v>24360400</v>
      </c>
      <c r="B2987">
        <v>2013</v>
      </c>
      <c r="C2987">
        <v>32.871972318339097</v>
      </c>
      <c r="D2987" t="s">
        <v>209</v>
      </c>
      <c r="E2987" t="s">
        <v>210</v>
      </c>
      <c r="F2987" t="s">
        <v>172</v>
      </c>
    </row>
    <row r="2988" spans="1:6" x14ac:dyDescent="0.2">
      <c r="A2988">
        <v>24360400</v>
      </c>
      <c r="B2988">
        <v>2012</v>
      </c>
      <c r="C2988">
        <v>26.885245901639301</v>
      </c>
      <c r="D2988" t="s">
        <v>209</v>
      </c>
      <c r="E2988" t="s">
        <v>210</v>
      </c>
      <c r="F2988" t="s">
        <v>172</v>
      </c>
    </row>
    <row r="2989" spans="1:6" x14ac:dyDescent="0.2">
      <c r="A2989">
        <v>96716040</v>
      </c>
      <c r="B2989">
        <v>2020</v>
      </c>
      <c r="C2989">
        <v>21.642212661911699</v>
      </c>
      <c r="D2989" t="s">
        <v>499</v>
      </c>
      <c r="E2989" t="s">
        <v>499</v>
      </c>
      <c r="F2989" t="s">
        <v>35</v>
      </c>
    </row>
    <row r="2990" spans="1:6" x14ac:dyDescent="0.2">
      <c r="A2990">
        <v>96716040</v>
      </c>
      <c r="B2990">
        <v>2019</v>
      </c>
      <c r="C2990">
        <v>27.7123153924971</v>
      </c>
      <c r="D2990" t="s">
        <v>499</v>
      </c>
      <c r="E2990" t="s">
        <v>499</v>
      </c>
      <c r="F2990" t="s">
        <v>35</v>
      </c>
    </row>
    <row r="2991" spans="1:6" x14ac:dyDescent="0.2">
      <c r="A2991">
        <v>96716040</v>
      </c>
      <c r="B2991">
        <v>2018</v>
      </c>
      <c r="C2991">
        <v>32.500598182501797</v>
      </c>
      <c r="D2991" t="s">
        <v>499</v>
      </c>
      <c r="E2991" t="s">
        <v>499</v>
      </c>
      <c r="F2991" t="s">
        <v>35</v>
      </c>
    </row>
    <row r="2992" spans="1:6" x14ac:dyDescent="0.2">
      <c r="A2992">
        <v>96716040</v>
      </c>
      <c r="B2992">
        <v>2017</v>
      </c>
      <c r="C2992">
        <v>36.3619672447441</v>
      </c>
      <c r="D2992" t="s">
        <v>499</v>
      </c>
      <c r="E2992" t="s">
        <v>499</v>
      </c>
      <c r="F2992" t="s">
        <v>35</v>
      </c>
    </row>
    <row r="2993" spans="1:6" x14ac:dyDescent="0.2">
      <c r="A2993">
        <v>96716040</v>
      </c>
      <c r="B2993">
        <v>2016</v>
      </c>
      <c r="C2993">
        <v>23.967825426326002</v>
      </c>
      <c r="D2993" t="s">
        <v>499</v>
      </c>
      <c r="E2993" t="s">
        <v>499</v>
      </c>
      <c r="F2993" t="s">
        <v>35</v>
      </c>
    </row>
    <row r="2994" spans="1:6" x14ac:dyDescent="0.2">
      <c r="A2994">
        <v>96716040</v>
      </c>
      <c r="B2994">
        <v>2015</v>
      </c>
      <c r="C2994">
        <v>25.544075621015601</v>
      </c>
      <c r="D2994" t="s">
        <v>499</v>
      </c>
      <c r="E2994" t="s">
        <v>499</v>
      </c>
      <c r="F2994" t="s">
        <v>35</v>
      </c>
    </row>
    <row r="2995" spans="1:6" x14ac:dyDescent="0.2">
      <c r="A2995">
        <v>96716040</v>
      </c>
      <c r="B2995">
        <v>2014</v>
      </c>
      <c r="C2995">
        <v>33.768711268363496</v>
      </c>
      <c r="D2995" t="s">
        <v>499</v>
      </c>
      <c r="E2995" t="s">
        <v>499</v>
      </c>
      <c r="F2995" t="s">
        <v>35</v>
      </c>
    </row>
    <row r="2996" spans="1:6" x14ac:dyDescent="0.2">
      <c r="A2996">
        <v>96716040</v>
      </c>
      <c r="B2996">
        <v>2013</v>
      </c>
      <c r="C2996">
        <v>41.206457094307602</v>
      </c>
      <c r="D2996" t="s">
        <v>499</v>
      </c>
      <c r="E2996" t="s">
        <v>499</v>
      </c>
      <c r="F2996" t="s">
        <v>35</v>
      </c>
    </row>
    <row r="2997" spans="1:6" x14ac:dyDescent="0.2">
      <c r="A2997">
        <v>96716040</v>
      </c>
      <c r="B2997">
        <v>2012</v>
      </c>
      <c r="C2997">
        <v>43.224137931034498</v>
      </c>
      <c r="D2997" t="s">
        <v>499</v>
      </c>
      <c r="E2997" t="s">
        <v>499</v>
      </c>
      <c r="F2997" t="s">
        <v>35</v>
      </c>
    </row>
    <row r="2998" spans="1:6" x14ac:dyDescent="0.2">
      <c r="A2998">
        <v>96716040</v>
      </c>
      <c r="B2998">
        <v>2011</v>
      </c>
      <c r="C2998">
        <v>49.113924050632903</v>
      </c>
      <c r="D2998" t="s">
        <v>499</v>
      </c>
      <c r="E2998" t="s">
        <v>499</v>
      </c>
      <c r="F2998" t="s">
        <v>35</v>
      </c>
    </row>
    <row r="2999" spans="1:6" x14ac:dyDescent="0.2">
      <c r="A2999">
        <v>96508540</v>
      </c>
      <c r="B2999">
        <v>2019</v>
      </c>
      <c r="C2999">
        <v>54.5</v>
      </c>
      <c r="D2999" t="s">
        <v>827</v>
      </c>
      <c r="E2999" t="s">
        <v>5</v>
      </c>
      <c r="F2999" t="s">
        <v>1126</v>
      </c>
    </row>
    <row r="3000" spans="1:6" x14ac:dyDescent="0.2">
      <c r="A3000">
        <v>96508540</v>
      </c>
      <c r="B3000">
        <v>2018</v>
      </c>
      <c r="C3000">
        <v>60.5555555555556</v>
      </c>
      <c r="D3000" t="s">
        <v>827</v>
      </c>
      <c r="E3000" t="s">
        <v>5</v>
      </c>
      <c r="F3000" t="s">
        <v>1126</v>
      </c>
    </row>
    <row r="3001" spans="1:6" x14ac:dyDescent="0.2">
      <c r="A3001">
        <v>96508540</v>
      </c>
      <c r="B3001">
        <v>2016</v>
      </c>
      <c r="C3001">
        <v>50</v>
      </c>
      <c r="D3001" t="s">
        <v>827</v>
      </c>
      <c r="E3001" t="s">
        <v>5</v>
      </c>
      <c r="F3001" t="s">
        <v>1126</v>
      </c>
    </row>
    <row r="3002" spans="1:6" x14ac:dyDescent="0.2">
      <c r="A3002">
        <v>96508540</v>
      </c>
      <c r="B3002">
        <v>2015</v>
      </c>
      <c r="C3002">
        <v>42.6</v>
      </c>
      <c r="D3002" t="s">
        <v>827</v>
      </c>
      <c r="E3002" t="s">
        <v>5</v>
      </c>
      <c r="F3002" t="s">
        <v>1126</v>
      </c>
    </row>
    <row r="3003" spans="1:6" x14ac:dyDescent="0.2">
      <c r="A3003">
        <v>35067664</v>
      </c>
      <c r="B3003">
        <v>2020</v>
      </c>
      <c r="C3003">
        <v>61.345336067684102</v>
      </c>
      <c r="D3003" t="s">
        <v>391</v>
      </c>
      <c r="E3003" t="s">
        <v>392</v>
      </c>
      <c r="F3003" t="s">
        <v>393</v>
      </c>
    </row>
    <row r="3004" spans="1:6" x14ac:dyDescent="0.2">
      <c r="A3004">
        <v>35067664</v>
      </c>
      <c r="B3004">
        <v>2019</v>
      </c>
      <c r="C3004">
        <v>64.887053968800899</v>
      </c>
      <c r="D3004" t="s">
        <v>391</v>
      </c>
      <c r="E3004" t="s">
        <v>392</v>
      </c>
      <c r="F3004" t="s">
        <v>393</v>
      </c>
    </row>
    <row r="3005" spans="1:6" x14ac:dyDescent="0.2">
      <c r="A3005">
        <v>35067664</v>
      </c>
      <c r="B3005">
        <v>2018</v>
      </c>
      <c r="C3005">
        <v>61.708227932478202</v>
      </c>
      <c r="D3005" t="s">
        <v>391</v>
      </c>
      <c r="E3005" t="s">
        <v>392</v>
      </c>
      <c r="F3005" t="s">
        <v>393</v>
      </c>
    </row>
    <row r="3006" spans="1:6" x14ac:dyDescent="0.2">
      <c r="A3006">
        <v>35067664</v>
      </c>
      <c r="B3006">
        <v>2017</v>
      </c>
      <c r="C3006">
        <v>57.748526495610498</v>
      </c>
      <c r="D3006" t="s">
        <v>391</v>
      </c>
      <c r="E3006" t="s">
        <v>392</v>
      </c>
      <c r="F3006" t="s">
        <v>393</v>
      </c>
    </row>
    <row r="3007" spans="1:6" x14ac:dyDescent="0.2">
      <c r="A3007">
        <v>35067664</v>
      </c>
      <c r="B3007">
        <v>2016</v>
      </c>
      <c r="C3007">
        <v>41.057456144249201</v>
      </c>
      <c r="D3007" t="s">
        <v>391</v>
      </c>
      <c r="E3007" t="s">
        <v>392</v>
      </c>
      <c r="F3007" t="s">
        <v>393</v>
      </c>
    </row>
    <row r="3008" spans="1:6" x14ac:dyDescent="0.2">
      <c r="A3008">
        <v>35067664</v>
      </c>
      <c r="B3008">
        <v>2015</v>
      </c>
      <c r="C3008">
        <v>40.427907429714899</v>
      </c>
      <c r="D3008" t="s">
        <v>391</v>
      </c>
      <c r="E3008" t="s">
        <v>392</v>
      </c>
      <c r="F3008" t="s">
        <v>393</v>
      </c>
    </row>
    <row r="3009" spans="1:6" x14ac:dyDescent="0.2">
      <c r="A3009">
        <v>35067664</v>
      </c>
      <c r="B3009">
        <v>2014</v>
      </c>
      <c r="C3009">
        <v>51.543220005250703</v>
      </c>
      <c r="D3009" t="s">
        <v>391</v>
      </c>
      <c r="E3009" t="s">
        <v>392</v>
      </c>
      <c r="F3009" t="s">
        <v>393</v>
      </c>
    </row>
    <row r="3010" spans="1:6" x14ac:dyDescent="0.2">
      <c r="A3010">
        <v>35067664</v>
      </c>
      <c r="B3010">
        <v>2013</v>
      </c>
      <c r="C3010">
        <v>67.970370370370404</v>
      </c>
      <c r="D3010" t="s">
        <v>391</v>
      </c>
      <c r="E3010" t="s">
        <v>392</v>
      </c>
      <c r="F3010" t="s">
        <v>393</v>
      </c>
    </row>
    <row r="3011" spans="1:6" x14ac:dyDescent="0.2">
      <c r="A3011">
        <v>35067664</v>
      </c>
      <c r="B3011">
        <v>2012</v>
      </c>
      <c r="C3011">
        <v>63.857142857142897</v>
      </c>
      <c r="D3011" t="s">
        <v>391</v>
      </c>
      <c r="E3011" t="s">
        <v>392</v>
      </c>
      <c r="F3011" t="s">
        <v>393</v>
      </c>
    </row>
    <row r="3012" spans="1:6" x14ac:dyDescent="0.2">
      <c r="A3012">
        <v>35067664</v>
      </c>
      <c r="B3012">
        <v>2011</v>
      </c>
      <c r="C3012">
        <v>79</v>
      </c>
      <c r="D3012" t="s">
        <v>391</v>
      </c>
      <c r="E3012" t="s">
        <v>392</v>
      </c>
      <c r="F3012" t="s">
        <v>393</v>
      </c>
    </row>
    <row r="3013" spans="1:6" x14ac:dyDescent="0.2">
      <c r="A3013">
        <v>64272012</v>
      </c>
      <c r="B3013">
        <v>2020</v>
      </c>
      <c r="C3013">
        <v>63</v>
      </c>
      <c r="D3013" t="s">
        <v>815</v>
      </c>
      <c r="E3013" t="s">
        <v>1</v>
      </c>
      <c r="F3013" t="s">
        <v>1126</v>
      </c>
    </row>
    <row r="3014" spans="1:6" x14ac:dyDescent="0.2">
      <c r="A3014">
        <v>64272012</v>
      </c>
      <c r="B3014">
        <v>2019</v>
      </c>
      <c r="C3014">
        <v>59.11</v>
      </c>
      <c r="D3014" t="s">
        <v>815</v>
      </c>
      <c r="E3014" t="s">
        <v>1</v>
      </c>
      <c r="F3014" t="s">
        <v>1126</v>
      </c>
    </row>
    <row r="3015" spans="1:6" x14ac:dyDescent="0.2">
      <c r="A3015">
        <v>64272012</v>
      </c>
      <c r="B3015">
        <v>2018</v>
      </c>
      <c r="C3015">
        <v>54.198</v>
      </c>
      <c r="D3015" t="s">
        <v>815</v>
      </c>
      <c r="E3015" t="s">
        <v>1</v>
      </c>
      <c r="F3015" t="s">
        <v>1126</v>
      </c>
    </row>
    <row r="3016" spans="1:6" x14ac:dyDescent="0.2">
      <c r="A3016">
        <v>64272012</v>
      </c>
      <c r="B3016">
        <v>2017</v>
      </c>
      <c r="C3016">
        <v>54.2222222222222</v>
      </c>
      <c r="D3016" t="s">
        <v>815</v>
      </c>
      <c r="E3016" t="s">
        <v>1</v>
      </c>
      <c r="F3016" t="s">
        <v>1126</v>
      </c>
    </row>
    <row r="3017" spans="1:6" x14ac:dyDescent="0.2">
      <c r="A3017">
        <v>64272012</v>
      </c>
      <c r="B3017">
        <v>2016</v>
      </c>
      <c r="C3017">
        <v>51.090909090909101</v>
      </c>
      <c r="D3017" t="s">
        <v>815</v>
      </c>
      <c r="E3017" t="s">
        <v>1</v>
      </c>
      <c r="F3017" t="s">
        <v>1126</v>
      </c>
    </row>
    <row r="3018" spans="1:6" x14ac:dyDescent="0.2">
      <c r="A3018">
        <v>64272012</v>
      </c>
      <c r="B3018">
        <v>2015</v>
      </c>
      <c r="C3018">
        <v>47.498333333333299</v>
      </c>
      <c r="D3018" t="s">
        <v>815</v>
      </c>
      <c r="E3018" t="s">
        <v>1</v>
      </c>
      <c r="F3018" t="s">
        <v>1126</v>
      </c>
    </row>
    <row r="3019" spans="1:6" x14ac:dyDescent="0.2">
      <c r="A3019">
        <v>41353062</v>
      </c>
      <c r="B3019">
        <v>2020</v>
      </c>
      <c r="C3019">
        <v>46.247500000000002</v>
      </c>
      <c r="D3019" t="s">
        <v>1055</v>
      </c>
      <c r="E3019" t="s">
        <v>447</v>
      </c>
      <c r="F3019" t="s">
        <v>1126</v>
      </c>
    </row>
    <row r="3020" spans="1:6" x14ac:dyDescent="0.2">
      <c r="A3020">
        <v>41353062</v>
      </c>
      <c r="B3020">
        <v>2018</v>
      </c>
      <c r="C3020">
        <v>81</v>
      </c>
      <c r="D3020" t="s">
        <v>1055</v>
      </c>
      <c r="E3020" t="s">
        <v>447</v>
      </c>
      <c r="F3020" t="s">
        <v>1126</v>
      </c>
    </row>
    <row r="3021" spans="1:6" x14ac:dyDescent="0.2">
      <c r="A3021">
        <v>39362907</v>
      </c>
      <c r="B3021">
        <v>2020</v>
      </c>
      <c r="C3021">
        <v>23.978714653252801</v>
      </c>
      <c r="D3021" t="s">
        <v>847</v>
      </c>
      <c r="E3021" t="s">
        <v>848</v>
      </c>
      <c r="F3021" t="s">
        <v>181</v>
      </c>
    </row>
    <row r="3022" spans="1:6" x14ac:dyDescent="0.2">
      <c r="A3022">
        <v>39362907</v>
      </c>
      <c r="B3022">
        <v>2019</v>
      </c>
      <c r="C3022">
        <v>36.693963395534098</v>
      </c>
      <c r="D3022" t="s">
        <v>847</v>
      </c>
      <c r="E3022" t="s">
        <v>848</v>
      </c>
      <c r="F3022" t="s">
        <v>181</v>
      </c>
    </row>
    <row r="3023" spans="1:6" x14ac:dyDescent="0.2">
      <c r="A3023">
        <v>39362907</v>
      </c>
      <c r="B3023">
        <v>2018</v>
      </c>
      <c r="C3023">
        <v>42.564698341479101</v>
      </c>
      <c r="D3023" t="s">
        <v>847</v>
      </c>
      <c r="E3023" t="s">
        <v>848</v>
      </c>
      <c r="F3023" t="s">
        <v>181</v>
      </c>
    </row>
    <row r="3024" spans="1:6" x14ac:dyDescent="0.2">
      <c r="A3024">
        <v>39362907</v>
      </c>
      <c r="B3024">
        <v>2017</v>
      </c>
      <c r="C3024">
        <v>43.987809092908499</v>
      </c>
      <c r="D3024" t="s">
        <v>847</v>
      </c>
      <c r="E3024" t="s">
        <v>848</v>
      </c>
      <c r="F3024" t="s">
        <v>181</v>
      </c>
    </row>
    <row r="3025" spans="1:6" x14ac:dyDescent="0.2">
      <c r="A3025">
        <v>74364725</v>
      </c>
      <c r="B3025">
        <v>2020</v>
      </c>
      <c r="C3025">
        <v>58.895000000000003</v>
      </c>
      <c r="D3025" t="s">
        <v>589</v>
      </c>
      <c r="E3025" t="s">
        <v>5</v>
      </c>
      <c r="F3025" t="s">
        <v>1126</v>
      </c>
    </row>
    <row r="3026" spans="1:6" x14ac:dyDescent="0.2">
      <c r="A3026">
        <v>74364725</v>
      </c>
      <c r="B3026">
        <v>2019</v>
      </c>
      <c r="C3026">
        <v>61.047619047619101</v>
      </c>
      <c r="D3026" t="s">
        <v>589</v>
      </c>
      <c r="E3026" t="s">
        <v>5</v>
      </c>
      <c r="F3026" t="s">
        <v>1126</v>
      </c>
    </row>
    <row r="3027" spans="1:6" x14ac:dyDescent="0.2">
      <c r="A3027">
        <v>74364725</v>
      </c>
      <c r="B3027">
        <v>2018</v>
      </c>
      <c r="C3027">
        <v>63.3444827586207</v>
      </c>
      <c r="D3027" t="s">
        <v>589</v>
      </c>
      <c r="E3027" t="s">
        <v>5</v>
      </c>
      <c r="F3027" t="s">
        <v>1126</v>
      </c>
    </row>
    <row r="3028" spans="1:6" x14ac:dyDescent="0.2">
      <c r="A3028">
        <v>74364725</v>
      </c>
      <c r="B3028">
        <v>2017</v>
      </c>
      <c r="C3028">
        <v>58.124375000000001</v>
      </c>
      <c r="D3028" t="s">
        <v>589</v>
      </c>
      <c r="E3028" t="s">
        <v>5</v>
      </c>
      <c r="F3028" t="s">
        <v>1126</v>
      </c>
    </row>
    <row r="3029" spans="1:6" x14ac:dyDescent="0.2">
      <c r="A3029">
        <v>74364725</v>
      </c>
      <c r="B3029">
        <v>2016</v>
      </c>
      <c r="C3029">
        <v>47.791249999999998</v>
      </c>
      <c r="D3029" t="s">
        <v>589</v>
      </c>
      <c r="E3029" t="s">
        <v>5</v>
      </c>
      <c r="F3029" t="s">
        <v>1126</v>
      </c>
    </row>
    <row r="3030" spans="1:6" x14ac:dyDescent="0.2">
      <c r="A3030">
        <v>74364725</v>
      </c>
      <c r="B3030">
        <v>2015</v>
      </c>
      <c r="C3030">
        <v>52.24</v>
      </c>
      <c r="D3030" t="s">
        <v>589</v>
      </c>
      <c r="E3030" t="s">
        <v>5</v>
      </c>
      <c r="F3030" t="s">
        <v>1126</v>
      </c>
    </row>
    <row r="3031" spans="1:6" x14ac:dyDescent="0.2">
      <c r="A3031">
        <v>74364725</v>
      </c>
      <c r="B3031">
        <v>2013</v>
      </c>
      <c r="C3031">
        <v>38.1666666666667</v>
      </c>
      <c r="D3031" t="s">
        <v>589</v>
      </c>
      <c r="E3031" t="s">
        <v>5</v>
      </c>
      <c r="F3031" t="s">
        <v>1126</v>
      </c>
    </row>
    <row r="3032" spans="1:6" x14ac:dyDescent="0.2">
      <c r="A3032">
        <v>46030946</v>
      </c>
      <c r="B3032">
        <v>2019</v>
      </c>
      <c r="C3032">
        <v>60</v>
      </c>
      <c r="D3032" t="s">
        <v>654</v>
      </c>
      <c r="E3032" t="s">
        <v>655</v>
      </c>
      <c r="F3032" t="s">
        <v>1126</v>
      </c>
    </row>
    <row r="3033" spans="1:6" x14ac:dyDescent="0.2">
      <c r="A3033">
        <v>46030946</v>
      </c>
      <c r="B3033">
        <v>2018</v>
      </c>
      <c r="C3033">
        <v>62.0555555555556</v>
      </c>
      <c r="D3033" t="s">
        <v>654</v>
      </c>
      <c r="E3033" t="s">
        <v>655</v>
      </c>
      <c r="F3033" t="s">
        <v>1126</v>
      </c>
    </row>
    <row r="3034" spans="1:6" x14ac:dyDescent="0.2">
      <c r="A3034">
        <v>46030946</v>
      </c>
      <c r="B3034">
        <v>2017</v>
      </c>
      <c r="C3034">
        <v>53</v>
      </c>
      <c r="D3034" t="s">
        <v>654</v>
      </c>
      <c r="E3034" t="s">
        <v>655</v>
      </c>
      <c r="F3034" t="s">
        <v>1126</v>
      </c>
    </row>
    <row r="3035" spans="1:6" x14ac:dyDescent="0.2">
      <c r="A3035">
        <v>46030946</v>
      </c>
      <c r="B3035">
        <v>2016</v>
      </c>
      <c r="C3035">
        <v>36.6</v>
      </c>
      <c r="D3035" t="s">
        <v>654</v>
      </c>
      <c r="E3035" t="s">
        <v>655</v>
      </c>
      <c r="F3035" t="s">
        <v>1126</v>
      </c>
    </row>
    <row r="3036" spans="1:6" x14ac:dyDescent="0.2">
      <c r="A3036">
        <v>46030946</v>
      </c>
      <c r="B3036">
        <v>2015</v>
      </c>
      <c r="C3036">
        <v>44.75</v>
      </c>
      <c r="D3036" t="s">
        <v>654</v>
      </c>
      <c r="E3036" t="s">
        <v>655</v>
      </c>
      <c r="F3036" t="s">
        <v>1126</v>
      </c>
    </row>
    <row r="3037" spans="1:6" x14ac:dyDescent="0.2">
      <c r="A3037">
        <v>46518891</v>
      </c>
      <c r="B3037">
        <v>2020</v>
      </c>
      <c r="C3037">
        <v>7.2961564844175504</v>
      </c>
      <c r="D3037" t="s">
        <v>95</v>
      </c>
      <c r="E3037"/>
      <c r="F3037" t="s">
        <v>94</v>
      </c>
    </row>
    <row r="3038" spans="1:6" x14ac:dyDescent="0.2">
      <c r="A3038">
        <v>46518891</v>
      </c>
      <c r="B3038">
        <v>2019</v>
      </c>
      <c r="C3038">
        <v>7.1500733067864202</v>
      </c>
      <c r="D3038" t="s">
        <v>95</v>
      </c>
      <c r="E3038"/>
      <c r="F3038" t="s">
        <v>94</v>
      </c>
    </row>
    <row r="3039" spans="1:6" x14ac:dyDescent="0.2">
      <c r="A3039">
        <v>46518891</v>
      </c>
      <c r="B3039">
        <v>2018</v>
      </c>
      <c r="C3039">
        <v>7.4834626368798602</v>
      </c>
      <c r="D3039" t="s">
        <v>95</v>
      </c>
      <c r="E3039"/>
      <c r="F3039" t="s">
        <v>94</v>
      </c>
    </row>
    <row r="3040" spans="1:6" x14ac:dyDescent="0.2">
      <c r="A3040">
        <v>46518891</v>
      </c>
      <c r="B3040">
        <v>2017</v>
      </c>
      <c r="C3040">
        <v>7.5843121852229203</v>
      </c>
      <c r="D3040" t="s">
        <v>95</v>
      </c>
      <c r="E3040"/>
      <c r="F3040" t="s">
        <v>94</v>
      </c>
    </row>
    <row r="3041" spans="1:6" x14ac:dyDescent="0.2">
      <c r="A3041">
        <v>46518891</v>
      </c>
      <c r="B3041">
        <v>2016</v>
      </c>
      <c r="C3041">
        <v>6.0521014482961899</v>
      </c>
      <c r="D3041" t="s">
        <v>95</v>
      </c>
      <c r="E3041"/>
      <c r="F3041" t="s">
        <v>94</v>
      </c>
    </row>
    <row r="3042" spans="1:6" x14ac:dyDescent="0.2">
      <c r="A3042">
        <v>46518891</v>
      </c>
      <c r="B3042">
        <v>2015</v>
      </c>
      <c r="C3042">
        <v>7.2458307122996599</v>
      </c>
      <c r="D3042" t="s">
        <v>95</v>
      </c>
      <c r="E3042"/>
      <c r="F3042" t="s">
        <v>94</v>
      </c>
    </row>
    <row r="3043" spans="1:6" x14ac:dyDescent="0.2">
      <c r="A3043">
        <v>46518891</v>
      </c>
      <c r="B3043">
        <v>2014</v>
      </c>
      <c r="C3043">
        <v>9.5618184636473504</v>
      </c>
      <c r="D3043" t="s">
        <v>95</v>
      </c>
      <c r="E3043"/>
      <c r="F3043" t="s">
        <v>94</v>
      </c>
    </row>
    <row r="3044" spans="1:6" x14ac:dyDescent="0.2">
      <c r="A3044">
        <v>46518891</v>
      </c>
      <c r="B3044">
        <v>2013</v>
      </c>
      <c r="C3044">
        <v>10.911502290812599</v>
      </c>
      <c r="D3044" t="s">
        <v>95</v>
      </c>
      <c r="E3044"/>
      <c r="F3044" t="s">
        <v>94</v>
      </c>
    </row>
    <row r="3045" spans="1:6" x14ac:dyDescent="0.2">
      <c r="A3045">
        <v>46518891</v>
      </c>
      <c r="B3045">
        <v>2012</v>
      </c>
      <c r="C3045">
        <v>11.081162024558299</v>
      </c>
      <c r="D3045" t="s">
        <v>95</v>
      </c>
      <c r="E3045"/>
      <c r="F3045" t="s">
        <v>94</v>
      </c>
    </row>
    <row r="3046" spans="1:6" x14ac:dyDescent="0.2">
      <c r="A3046">
        <v>46518891</v>
      </c>
      <c r="B3046">
        <v>2011</v>
      </c>
      <c r="C3046">
        <v>15.492789893934001</v>
      </c>
      <c r="D3046" t="s">
        <v>95</v>
      </c>
      <c r="E3046"/>
      <c r="F3046" t="s">
        <v>94</v>
      </c>
    </row>
    <row r="3047" spans="1:6" x14ac:dyDescent="0.2">
      <c r="A3047">
        <v>30114012</v>
      </c>
      <c r="B3047">
        <v>2020</v>
      </c>
      <c r="C3047">
        <v>69.8</v>
      </c>
      <c r="D3047" t="s">
        <v>786</v>
      </c>
      <c r="E3047" t="s">
        <v>470</v>
      </c>
      <c r="F3047" t="s">
        <v>1126</v>
      </c>
    </row>
    <row r="3048" spans="1:6" x14ac:dyDescent="0.2">
      <c r="A3048">
        <v>30114012</v>
      </c>
      <c r="B3048">
        <v>2019</v>
      </c>
      <c r="C3048">
        <v>60.8333333333333</v>
      </c>
      <c r="D3048" t="s">
        <v>786</v>
      </c>
      <c r="E3048" t="s">
        <v>470</v>
      </c>
      <c r="F3048" t="s">
        <v>1126</v>
      </c>
    </row>
    <row r="3049" spans="1:6" x14ac:dyDescent="0.2">
      <c r="A3049">
        <v>30114012</v>
      </c>
      <c r="B3049">
        <v>2018</v>
      </c>
      <c r="C3049">
        <v>65.4444444444444</v>
      </c>
      <c r="D3049" t="s">
        <v>786</v>
      </c>
      <c r="E3049" t="s">
        <v>470</v>
      </c>
      <c r="F3049" t="s">
        <v>1126</v>
      </c>
    </row>
    <row r="3050" spans="1:6" x14ac:dyDescent="0.2">
      <c r="A3050">
        <v>82945499</v>
      </c>
      <c r="B3050">
        <v>2020</v>
      </c>
      <c r="C3050">
        <v>63.411764705882398</v>
      </c>
      <c r="D3050" t="s">
        <v>610</v>
      </c>
      <c r="E3050" t="s">
        <v>611</v>
      </c>
      <c r="F3050" t="s">
        <v>1126</v>
      </c>
    </row>
    <row r="3051" spans="1:6" x14ac:dyDescent="0.2">
      <c r="A3051">
        <v>82945499</v>
      </c>
      <c r="B3051">
        <v>2019</v>
      </c>
      <c r="C3051">
        <v>61.15</v>
      </c>
      <c r="D3051" t="s">
        <v>610</v>
      </c>
      <c r="E3051" t="s">
        <v>611</v>
      </c>
      <c r="F3051" t="s">
        <v>1126</v>
      </c>
    </row>
    <row r="3052" spans="1:6" x14ac:dyDescent="0.2">
      <c r="A3052">
        <v>82945499</v>
      </c>
      <c r="B3052">
        <v>2018</v>
      </c>
      <c r="C3052">
        <v>58.6666666666667</v>
      </c>
      <c r="D3052" t="s">
        <v>610</v>
      </c>
      <c r="E3052" t="s">
        <v>611</v>
      </c>
      <c r="F3052" t="s">
        <v>1126</v>
      </c>
    </row>
    <row r="3053" spans="1:6" x14ac:dyDescent="0.2">
      <c r="A3053">
        <v>82945499</v>
      </c>
      <c r="B3053">
        <v>2017</v>
      </c>
      <c r="C3053">
        <v>54.875</v>
      </c>
      <c r="D3053" t="s">
        <v>610</v>
      </c>
      <c r="E3053" t="s">
        <v>611</v>
      </c>
      <c r="F3053" t="s">
        <v>1126</v>
      </c>
    </row>
    <row r="3054" spans="1:6" x14ac:dyDescent="0.2">
      <c r="A3054">
        <v>82945499</v>
      </c>
      <c r="B3054">
        <v>2016</v>
      </c>
      <c r="C3054">
        <v>46.433599999999998</v>
      </c>
      <c r="D3054" t="s">
        <v>610</v>
      </c>
      <c r="E3054" t="s">
        <v>611</v>
      </c>
      <c r="F3054" t="s">
        <v>1126</v>
      </c>
    </row>
    <row r="3055" spans="1:6" x14ac:dyDescent="0.2">
      <c r="A3055">
        <v>82945499</v>
      </c>
      <c r="B3055">
        <v>2015</v>
      </c>
      <c r="C3055">
        <v>41.5625</v>
      </c>
      <c r="D3055" t="s">
        <v>610</v>
      </c>
      <c r="E3055" t="s">
        <v>611</v>
      </c>
      <c r="F3055" t="s">
        <v>1126</v>
      </c>
    </row>
    <row r="3056" spans="1:6" x14ac:dyDescent="0.2">
      <c r="A3056">
        <v>82945499</v>
      </c>
      <c r="B3056">
        <v>2014</v>
      </c>
      <c r="C3056">
        <v>55.564285714285703</v>
      </c>
      <c r="D3056" t="s">
        <v>610</v>
      </c>
      <c r="E3056" t="s">
        <v>611</v>
      </c>
      <c r="F3056" t="s">
        <v>1126</v>
      </c>
    </row>
    <row r="3057" spans="1:6" x14ac:dyDescent="0.2">
      <c r="A3057">
        <v>82945499</v>
      </c>
      <c r="B3057">
        <v>2013</v>
      </c>
      <c r="C3057">
        <v>54.1666666666667</v>
      </c>
      <c r="D3057" t="s">
        <v>610</v>
      </c>
      <c r="E3057" t="s">
        <v>611</v>
      </c>
      <c r="F3057" t="s">
        <v>1126</v>
      </c>
    </row>
    <row r="3058" spans="1:6" x14ac:dyDescent="0.2">
      <c r="A3058">
        <v>82945499</v>
      </c>
      <c r="B3058">
        <v>2012</v>
      </c>
      <c r="C3058">
        <v>53.33</v>
      </c>
      <c r="D3058" t="s">
        <v>610</v>
      </c>
      <c r="E3058" t="s">
        <v>611</v>
      </c>
      <c r="F3058" t="s">
        <v>1126</v>
      </c>
    </row>
    <row r="3059" spans="1:6" x14ac:dyDescent="0.2">
      <c r="A3059">
        <v>57255403</v>
      </c>
      <c r="B3059">
        <v>2020</v>
      </c>
      <c r="C3059">
        <v>18.788031743361099</v>
      </c>
      <c r="D3059" t="s">
        <v>710</v>
      </c>
      <c r="E3059" t="s">
        <v>711</v>
      </c>
      <c r="F3059" t="s">
        <v>35</v>
      </c>
    </row>
    <row r="3060" spans="1:6" x14ac:dyDescent="0.2">
      <c r="A3060">
        <v>57255403</v>
      </c>
      <c r="B3060">
        <v>2019</v>
      </c>
      <c r="C3060">
        <v>39.177963510345499</v>
      </c>
      <c r="D3060" t="s">
        <v>710</v>
      </c>
      <c r="E3060" t="s">
        <v>711</v>
      </c>
      <c r="F3060" t="s">
        <v>35</v>
      </c>
    </row>
    <row r="3061" spans="1:6" x14ac:dyDescent="0.2">
      <c r="A3061">
        <v>57255403</v>
      </c>
      <c r="B3061">
        <v>2018</v>
      </c>
      <c r="C3061">
        <v>36.872213568244099</v>
      </c>
      <c r="D3061" t="s">
        <v>710</v>
      </c>
      <c r="E3061" t="s">
        <v>711</v>
      </c>
      <c r="F3061" t="s">
        <v>35</v>
      </c>
    </row>
    <row r="3062" spans="1:6" x14ac:dyDescent="0.2">
      <c r="A3062">
        <v>57255403</v>
      </c>
      <c r="B3062">
        <v>2017</v>
      </c>
      <c r="C3062">
        <v>24.2729493150477</v>
      </c>
      <c r="D3062" t="s">
        <v>710</v>
      </c>
      <c r="E3062" t="s">
        <v>711</v>
      </c>
      <c r="F3062" t="s">
        <v>35</v>
      </c>
    </row>
    <row r="3063" spans="1:6" x14ac:dyDescent="0.2">
      <c r="A3063">
        <v>57255403</v>
      </c>
      <c r="B3063">
        <v>2015</v>
      </c>
      <c r="C3063">
        <v>21.0407310868951</v>
      </c>
      <c r="D3063" t="s">
        <v>710</v>
      </c>
      <c r="E3063" t="s">
        <v>711</v>
      </c>
      <c r="F3063" t="s">
        <v>35</v>
      </c>
    </row>
    <row r="3064" spans="1:6" x14ac:dyDescent="0.2">
      <c r="A3064">
        <v>86709793</v>
      </c>
      <c r="B3064">
        <v>2019</v>
      </c>
      <c r="C3064">
        <v>34.475810965098802</v>
      </c>
      <c r="D3064" t="s">
        <v>679</v>
      </c>
      <c r="E3064" t="s">
        <v>679</v>
      </c>
      <c r="F3064" t="s">
        <v>223</v>
      </c>
    </row>
    <row r="3065" spans="1:6" x14ac:dyDescent="0.2">
      <c r="A3065">
        <v>86709793</v>
      </c>
      <c r="B3065">
        <v>2017</v>
      </c>
      <c r="C3065">
        <v>28.922227198089299</v>
      </c>
      <c r="D3065" t="s">
        <v>679</v>
      </c>
      <c r="E3065" t="s">
        <v>679</v>
      </c>
      <c r="F3065" t="s">
        <v>223</v>
      </c>
    </row>
    <row r="3066" spans="1:6" x14ac:dyDescent="0.2">
      <c r="A3066">
        <v>18032006</v>
      </c>
      <c r="B3066">
        <v>2020</v>
      </c>
      <c r="C3066">
        <v>7.28583947996845</v>
      </c>
      <c r="D3066" t="s">
        <v>102</v>
      </c>
      <c r="E3066" t="s">
        <v>103</v>
      </c>
      <c r="F3066" t="s">
        <v>94</v>
      </c>
    </row>
    <row r="3067" spans="1:6" x14ac:dyDescent="0.2">
      <c r="A3067">
        <v>18032006</v>
      </c>
      <c r="B3067">
        <v>2019</v>
      </c>
      <c r="C3067">
        <v>7.9927993532450801</v>
      </c>
      <c r="D3067" t="s">
        <v>102</v>
      </c>
      <c r="E3067" t="s">
        <v>103</v>
      </c>
      <c r="F3067" t="s">
        <v>94</v>
      </c>
    </row>
    <row r="3068" spans="1:6" x14ac:dyDescent="0.2">
      <c r="A3068">
        <v>18032006</v>
      </c>
      <c r="B3068">
        <v>2018</v>
      </c>
      <c r="C3068">
        <v>7.5133568375216404</v>
      </c>
      <c r="D3068" t="s">
        <v>102</v>
      </c>
      <c r="E3068" t="s">
        <v>103</v>
      </c>
      <c r="F3068" t="s">
        <v>94</v>
      </c>
    </row>
    <row r="3069" spans="1:6" x14ac:dyDescent="0.2">
      <c r="A3069">
        <v>18032006</v>
      </c>
      <c r="B3069">
        <v>2017</v>
      </c>
      <c r="C3069">
        <v>8.8548178099317703</v>
      </c>
      <c r="D3069" t="s">
        <v>102</v>
      </c>
      <c r="E3069" t="s">
        <v>103</v>
      </c>
      <c r="F3069" t="s">
        <v>94</v>
      </c>
    </row>
    <row r="3070" spans="1:6" x14ac:dyDescent="0.2">
      <c r="A3070">
        <v>18032006</v>
      </c>
      <c r="B3070">
        <v>2016</v>
      </c>
      <c r="C3070">
        <v>6.7320712492910602</v>
      </c>
      <c r="D3070" t="s">
        <v>102</v>
      </c>
      <c r="E3070" t="s">
        <v>103</v>
      </c>
      <c r="F3070" t="s">
        <v>94</v>
      </c>
    </row>
    <row r="3071" spans="1:6" x14ac:dyDescent="0.2">
      <c r="A3071">
        <v>18032006</v>
      </c>
      <c r="B3071">
        <v>2014</v>
      </c>
      <c r="C3071">
        <v>11.454261701244199</v>
      </c>
      <c r="D3071" t="s">
        <v>102</v>
      </c>
      <c r="E3071" t="s">
        <v>103</v>
      </c>
      <c r="F3071" t="s">
        <v>94</v>
      </c>
    </row>
    <row r="3072" spans="1:6" x14ac:dyDescent="0.2">
      <c r="A3072">
        <v>29481290</v>
      </c>
      <c r="B3072">
        <v>2020</v>
      </c>
      <c r="C3072">
        <v>14.2690949868473</v>
      </c>
      <c r="D3072" t="s">
        <v>957</v>
      </c>
      <c r="E3072" t="s">
        <v>958</v>
      </c>
      <c r="F3072" t="s">
        <v>388</v>
      </c>
    </row>
    <row r="3073" spans="1:6" x14ac:dyDescent="0.2">
      <c r="A3073">
        <v>29481290</v>
      </c>
      <c r="B3073">
        <v>2019</v>
      </c>
      <c r="C3073">
        <v>13.6557073408117</v>
      </c>
      <c r="D3073" t="s">
        <v>957</v>
      </c>
      <c r="E3073" t="s">
        <v>958</v>
      </c>
      <c r="F3073" t="s">
        <v>388</v>
      </c>
    </row>
    <row r="3074" spans="1:6" x14ac:dyDescent="0.2">
      <c r="A3074">
        <v>29481290</v>
      </c>
      <c r="B3074">
        <v>2018</v>
      </c>
      <c r="C3074">
        <v>13.9118944268288</v>
      </c>
      <c r="D3074" t="s">
        <v>957</v>
      </c>
      <c r="E3074" t="s">
        <v>958</v>
      </c>
      <c r="F3074" t="s">
        <v>388</v>
      </c>
    </row>
    <row r="3075" spans="1:6" x14ac:dyDescent="0.2">
      <c r="A3075">
        <v>70341200</v>
      </c>
      <c r="B3075">
        <v>2020</v>
      </c>
      <c r="C3075">
        <v>66.894736842105303</v>
      </c>
      <c r="D3075" t="s">
        <v>122</v>
      </c>
      <c r="E3075" t="s">
        <v>123</v>
      </c>
      <c r="F3075" t="s">
        <v>1126</v>
      </c>
    </row>
    <row r="3076" spans="1:6" x14ac:dyDescent="0.2">
      <c r="A3076">
        <v>70341200</v>
      </c>
      <c r="B3076">
        <v>2019</v>
      </c>
      <c r="C3076">
        <v>59.798000000000002</v>
      </c>
      <c r="D3076" t="s">
        <v>122</v>
      </c>
      <c r="E3076" t="s">
        <v>123</v>
      </c>
      <c r="F3076" t="s">
        <v>1126</v>
      </c>
    </row>
    <row r="3077" spans="1:6" x14ac:dyDescent="0.2">
      <c r="A3077">
        <v>70341200</v>
      </c>
      <c r="B3077">
        <v>2018</v>
      </c>
      <c r="C3077">
        <v>57.523333333333298</v>
      </c>
      <c r="D3077" t="s">
        <v>122</v>
      </c>
      <c r="E3077" t="s">
        <v>123</v>
      </c>
      <c r="F3077" t="s">
        <v>1126</v>
      </c>
    </row>
    <row r="3078" spans="1:6" x14ac:dyDescent="0.2">
      <c r="A3078">
        <v>70341200</v>
      </c>
      <c r="B3078">
        <v>2017</v>
      </c>
      <c r="C3078">
        <v>55.533333333333303</v>
      </c>
      <c r="D3078" t="s">
        <v>122</v>
      </c>
      <c r="E3078" t="s">
        <v>123</v>
      </c>
      <c r="F3078" t="s">
        <v>1126</v>
      </c>
    </row>
    <row r="3079" spans="1:6" x14ac:dyDescent="0.2">
      <c r="A3079">
        <v>70341200</v>
      </c>
      <c r="B3079">
        <v>2016</v>
      </c>
      <c r="C3079">
        <v>48.884230769230797</v>
      </c>
      <c r="D3079" t="s">
        <v>122</v>
      </c>
      <c r="E3079" t="s">
        <v>123</v>
      </c>
      <c r="F3079" t="s">
        <v>1126</v>
      </c>
    </row>
    <row r="3080" spans="1:6" x14ac:dyDescent="0.2">
      <c r="A3080">
        <v>70341200</v>
      </c>
      <c r="B3080">
        <v>2015</v>
      </c>
      <c r="C3080">
        <v>44.811875000000001</v>
      </c>
      <c r="D3080" t="s">
        <v>122</v>
      </c>
      <c r="E3080" t="s">
        <v>123</v>
      </c>
      <c r="F3080" t="s">
        <v>1126</v>
      </c>
    </row>
    <row r="3081" spans="1:6" x14ac:dyDescent="0.2">
      <c r="A3081">
        <v>70341200</v>
      </c>
      <c r="B3081">
        <v>2014</v>
      </c>
      <c r="C3081">
        <v>51</v>
      </c>
      <c r="D3081" t="s">
        <v>122</v>
      </c>
      <c r="E3081" t="s">
        <v>123</v>
      </c>
      <c r="F3081" t="s">
        <v>1126</v>
      </c>
    </row>
    <row r="3082" spans="1:6" x14ac:dyDescent="0.2">
      <c r="A3082">
        <v>70341200</v>
      </c>
      <c r="B3082">
        <v>2013</v>
      </c>
      <c r="C3082">
        <v>57.148333333333298</v>
      </c>
      <c r="D3082" t="s">
        <v>122</v>
      </c>
      <c r="E3082" t="s">
        <v>123</v>
      </c>
      <c r="F3082" t="s">
        <v>1126</v>
      </c>
    </row>
    <row r="3083" spans="1:6" x14ac:dyDescent="0.2">
      <c r="A3083">
        <v>70341200</v>
      </c>
      <c r="B3083">
        <v>2012</v>
      </c>
      <c r="C3083">
        <v>38.3333333333333</v>
      </c>
      <c r="D3083" t="s">
        <v>122</v>
      </c>
      <c r="E3083" t="s">
        <v>123</v>
      </c>
      <c r="F3083" t="s">
        <v>1126</v>
      </c>
    </row>
    <row r="3084" spans="1:6" x14ac:dyDescent="0.2">
      <c r="A3084">
        <v>70341200</v>
      </c>
      <c r="B3084">
        <v>2011</v>
      </c>
      <c r="C3084">
        <v>87.5</v>
      </c>
      <c r="D3084" t="s">
        <v>122</v>
      </c>
      <c r="E3084" t="s">
        <v>123</v>
      </c>
      <c r="F3084" t="s">
        <v>1126</v>
      </c>
    </row>
    <row r="3085" spans="1:6" x14ac:dyDescent="0.2">
      <c r="A3085">
        <v>45603596</v>
      </c>
      <c r="B3085">
        <v>2020</v>
      </c>
      <c r="C3085">
        <v>62.939655172413801</v>
      </c>
      <c r="D3085" t="s">
        <v>568</v>
      </c>
      <c r="E3085" t="s">
        <v>5</v>
      </c>
      <c r="F3085" t="s">
        <v>1126</v>
      </c>
    </row>
    <row r="3086" spans="1:6" x14ac:dyDescent="0.2">
      <c r="A3086">
        <v>45603596</v>
      </c>
      <c r="B3086">
        <v>2019</v>
      </c>
      <c r="C3086">
        <v>63.607450980392201</v>
      </c>
      <c r="D3086" t="s">
        <v>568</v>
      </c>
      <c r="E3086" t="s">
        <v>5</v>
      </c>
      <c r="F3086" t="s">
        <v>1126</v>
      </c>
    </row>
    <row r="3087" spans="1:6" x14ac:dyDescent="0.2">
      <c r="A3087">
        <v>45603596</v>
      </c>
      <c r="B3087">
        <v>2018</v>
      </c>
      <c r="C3087">
        <v>67.546718749999997</v>
      </c>
      <c r="D3087" t="s">
        <v>568</v>
      </c>
      <c r="E3087" t="s">
        <v>5</v>
      </c>
      <c r="F3087" t="s">
        <v>1126</v>
      </c>
    </row>
    <row r="3088" spans="1:6" x14ac:dyDescent="0.2">
      <c r="A3088">
        <v>45603596</v>
      </c>
      <c r="B3088">
        <v>2017</v>
      </c>
      <c r="C3088">
        <v>60.883023255813903</v>
      </c>
      <c r="D3088" t="s">
        <v>568</v>
      </c>
      <c r="E3088" t="s">
        <v>5</v>
      </c>
      <c r="F3088" t="s">
        <v>1126</v>
      </c>
    </row>
    <row r="3089" spans="1:6" x14ac:dyDescent="0.2">
      <c r="A3089">
        <v>45603596</v>
      </c>
      <c r="B3089">
        <v>2016</v>
      </c>
      <c r="C3089">
        <v>53.832857142857101</v>
      </c>
      <c r="D3089" t="s">
        <v>568</v>
      </c>
      <c r="E3089" t="s">
        <v>5</v>
      </c>
      <c r="F3089" t="s">
        <v>1126</v>
      </c>
    </row>
    <row r="3090" spans="1:6" x14ac:dyDescent="0.2">
      <c r="A3090">
        <v>45603596</v>
      </c>
      <c r="B3090">
        <v>2015</v>
      </c>
      <c r="C3090">
        <v>49.935882352941199</v>
      </c>
      <c r="D3090" t="s">
        <v>568</v>
      </c>
      <c r="E3090" t="s">
        <v>5</v>
      </c>
      <c r="F3090" t="s">
        <v>1126</v>
      </c>
    </row>
    <row r="3091" spans="1:6" x14ac:dyDescent="0.2">
      <c r="A3091">
        <v>45603596</v>
      </c>
      <c r="B3091">
        <v>2014</v>
      </c>
      <c r="C3091">
        <v>48.384</v>
      </c>
      <c r="D3091" t="s">
        <v>568</v>
      </c>
      <c r="E3091" t="s">
        <v>5</v>
      </c>
      <c r="F3091" t="s">
        <v>1126</v>
      </c>
    </row>
    <row r="3092" spans="1:6" x14ac:dyDescent="0.2">
      <c r="A3092">
        <v>45603596</v>
      </c>
      <c r="B3092">
        <v>2013</v>
      </c>
      <c r="C3092">
        <v>45</v>
      </c>
      <c r="D3092" t="s">
        <v>568</v>
      </c>
      <c r="E3092" t="s">
        <v>5</v>
      </c>
      <c r="F3092" t="s">
        <v>1126</v>
      </c>
    </row>
    <row r="3093" spans="1:6" x14ac:dyDescent="0.2">
      <c r="A3093">
        <v>45603596</v>
      </c>
      <c r="B3093">
        <v>2012</v>
      </c>
      <c r="C3093">
        <v>37.75</v>
      </c>
      <c r="D3093" t="s">
        <v>568</v>
      </c>
      <c r="E3093" t="s">
        <v>5</v>
      </c>
      <c r="F3093" t="s">
        <v>1126</v>
      </c>
    </row>
    <row r="3094" spans="1:6" x14ac:dyDescent="0.2">
      <c r="A3094">
        <v>45603596</v>
      </c>
      <c r="B3094">
        <v>2011</v>
      </c>
      <c r="C3094">
        <v>45.25</v>
      </c>
      <c r="D3094" t="s">
        <v>568</v>
      </c>
      <c r="E3094" t="s">
        <v>5</v>
      </c>
      <c r="F3094" t="s">
        <v>1126</v>
      </c>
    </row>
    <row r="3095" spans="1:6" x14ac:dyDescent="0.2">
      <c r="A3095">
        <v>32835764</v>
      </c>
      <c r="B3095">
        <v>2020</v>
      </c>
      <c r="C3095">
        <v>68.988823529411803</v>
      </c>
      <c r="D3095" t="s">
        <v>4</v>
      </c>
      <c r="E3095" t="s">
        <v>5</v>
      </c>
      <c r="F3095" t="s">
        <v>1126</v>
      </c>
    </row>
    <row r="3096" spans="1:6" x14ac:dyDescent="0.2">
      <c r="A3096">
        <v>32835764</v>
      </c>
      <c r="B3096">
        <v>2019</v>
      </c>
      <c r="C3096">
        <v>67.366666666666703</v>
      </c>
      <c r="D3096" t="s">
        <v>4</v>
      </c>
      <c r="E3096" t="s">
        <v>5</v>
      </c>
      <c r="F3096" t="s">
        <v>1126</v>
      </c>
    </row>
    <row r="3097" spans="1:6" x14ac:dyDescent="0.2">
      <c r="A3097">
        <v>32835764</v>
      </c>
      <c r="B3097">
        <v>2018</v>
      </c>
      <c r="C3097">
        <v>63.246031746031697</v>
      </c>
      <c r="D3097" t="s">
        <v>4</v>
      </c>
      <c r="E3097" t="s">
        <v>5</v>
      </c>
      <c r="F3097" t="s">
        <v>1126</v>
      </c>
    </row>
    <row r="3098" spans="1:6" x14ac:dyDescent="0.2">
      <c r="A3098">
        <v>32835764</v>
      </c>
      <c r="B3098">
        <v>2017</v>
      </c>
      <c r="C3098">
        <v>58.7777777777778</v>
      </c>
      <c r="D3098" t="s">
        <v>4</v>
      </c>
      <c r="E3098" t="s">
        <v>5</v>
      </c>
      <c r="F3098" t="s">
        <v>1126</v>
      </c>
    </row>
    <row r="3099" spans="1:6" x14ac:dyDescent="0.2">
      <c r="A3099">
        <v>32835764</v>
      </c>
      <c r="B3099">
        <v>2016</v>
      </c>
      <c r="C3099">
        <v>53.051379310344799</v>
      </c>
      <c r="D3099" t="s">
        <v>4</v>
      </c>
      <c r="E3099" t="s">
        <v>5</v>
      </c>
      <c r="F3099" t="s">
        <v>1126</v>
      </c>
    </row>
    <row r="3100" spans="1:6" x14ac:dyDescent="0.2">
      <c r="A3100">
        <v>32835764</v>
      </c>
      <c r="B3100">
        <v>2015</v>
      </c>
      <c r="C3100">
        <v>55.261428571428603</v>
      </c>
      <c r="D3100" t="s">
        <v>4</v>
      </c>
      <c r="E3100" t="s">
        <v>5</v>
      </c>
      <c r="F3100" t="s">
        <v>1126</v>
      </c>
    </row>
    <row r="3101" spans="1:6" x14ac:dyDescent="0.2">
      <c r="A3101">
        <v>32835764</v>
      </c>
      <c r="B3101">
        <v>2014</v>
      </c>
      <c r="C3101">
        <v>47</v>
      </c>
      <c r="D3101" t="s">
        <v>4</v>
      </c>
      <c r="E3101" t="s">
        <v>5</v>
      </c>
      <c r="F3101" t="s">
        <v>1126</v>
      </c>
    </row>
    <row r="3102" spans="1:6" x14ac:dyDescent="0.2">
      <c r="A3102">
        <v>32835764</v>
      </c>
      <c r="B3102">
        <v>2013</v>
      </c>
      <c r="C3102">
        <v>48.5</v>
      </c>
      <c r="D3102" t="s">
        <v>4</v>
      </c>
      <c r="E3102" t="s">
        <v>5</v>
      </c>
      <c r="F3102" t="s">
        <v>1126</v>
      </c>
    </row>
    <row r="3103" spans="1:6" x14ac:dyDescent="0.2">
      <c r="A3103">
        <v>32835764</v>
      </c>
      <c r="B3103">
        <v>2012</v>
      </c>
      <c r="C3103">
        <v>36.5</v>
      </c>
      <c r="D3103" t="s">
        <v>4</v>
      </c>
      <c r="E3103" t="s">
        <v>5</v>
      </c>
      <c r="F3103" t="s">
        <v>1126</v>
      </c>
    </row>
    <row r="3104" spans="1:6" x14ac:dyDescent="0.2">
      <c r="A3104">
        <v>32835764</v>
      </c>
      <c r="B3104">
        <v>2011</v>
      </c>
      <c r="C3104">
        <v>42.5</v>
      </c>
      <c r="D3104" t="s">
        <v>4</v>
      </c>
      <c r="E3104" t="s">
        <v>5</v>
      </c>
      <c r="F3104" t="s">
        <v>1126</v>
      </c>
    </row>
    <row r="3105" spans="1:6" x14ac:dyDescent="0.2">
      <c r="A3105">
        <v>32835764</v>
      </c>
      <c r="B3105">
        <v>2010</v>
      </c>
      <c r="C3105">
        <v>41.6666666666667</v>
      </c>
      <c r="D3105" t="s">
        <v>4</v>
      </c>
      <c r="E3105" t="s">
        <v>5</v>
      </c>
      <c r="F3105" t="s">
        <v>1126</v>
      </c>
    </row>
    <row r="3106" spans="1:6" x14ac:dyDescent="0.2">
      <c r="A3106">
        <v>12000983</v>
      </c>
      <c r="B3106">
        <v>2020</v>
      </c>
      <c r="C3106">
        <v>58.7777777777778</v>
      </c>
      <c r="D3106" t="s">
        <v>340</v>
      </c>
      <c r="E3106" t="s">
        <v>5</v>
      </c>
      <c r="F3106" t="s">
        <v>1126</v>
      </c>
    </row>
    <row r="3107" spans="1:6" x14ac:dyDescent="0.2">
      <c r="A3107">
        <v>46681088</v>
      </c>
      <c r="B3107">
        <v>2020</v>
      </c>
      <c r="C3107">
        <v>57.407518045814101</v>
      </c>
      <c r="D3107" t="s">
        <v>340</v>
      </c>
      <c r="E3107" t="s">
        <v>341</v>
      </c>
      <c r="F3107" t="s">
        <v>342</v>
      </c>
    </row>
    <row r="3108" spans="1:6" x14ac:dyDescent="0.2">
      <c r="A3108">
        <v>46681088</v>
      </c>
      <c r="B3108">
        <v>2019</v>
      </c>
      <c r="C3108">
        <v>67.8359337597131</v>
      </c>
      <c r="D3108" t="s">
        <v>340</v>
      </c>
      <c r="E3108" t="s">
        <v>341</v>
      </c>
      <c r="F3108" t="s">
        <v>342</v>
      </c>
    </row>
    <row r="3109" spans="1:6" x14ac:dyDescent="0.2">
      <c r="A3109">
        <v>12000983</v>
      </c>
      <c r="B3109">
        <v>2019</v>
      </c>
      <c r="C3109">
        <v>60.999499999999998</v>
      </c>
      <c r="D3109" t="s">
        <v>340</v>
      </c>
      <c r="E3109" t="s">
        <v>5</v>
      </c>
      <c r="F3109" t="s">
        <v>1126</v>
      </c>
    </row>
    <row r="3110" spans="1:6" x14ac:dyDescent="0.2">
      <c r="A3110">
        <v>46681088</v>
      </c>
      <c r="B3110">
        <v>2018</v>
      </c>
      <c r="C3110">
        <v>77.489833724150103</v>
      </c>
      <c r="D3110" t="s">
        <v>340</v>
      </c>
      <c r="E3110" t="s">
        <v>341</v>
      </c>
      <c r="F3110" t="s">
        <v>342</v>
      </c>
    </row>
    <row r="3111" spans="1:6" x14ac:dyDescent="0.2">
      <c r="A3111">
        <v>12000983</v>
      </c>
      <c r="B3111">
        <v>2018</v>
      </c>
      <c r="C3111">
        <v>61.086956521739097</v>
      </c>
      <c r="D3111" t="s">
        <v>340</v>
      </c>
      <c r="E3111" t="s">
        <v>5</v>
      </c>
      <c r="F3111" t="s">
        <v>1126</v>
      </c>
    </row>
    <row r="3112" spans="1:6" x14ac:dyDescent="0.2">
      <c r="A3112">
        <v>12000983</v>
      </c>
      <c r="B3112">
        <v>2017</v>
      </c>
      <c r="C3112">
        <v>61.8333333333333</v>
      </c>
      <c r="D3112" t="s">
        <v>340</v>
      </c>
      <c r="E3112" t="s">
        <v>5</v>
      </c>
      <c r="F3112" t="s">
        <v>1126</v>
      </c>
    </row>
    <row r="3113" spans="1:6" x14ac:dyDescent="0.2">
      <c r="A3113">
        <v>46681088</v>
      </c>
      <c r="B3113">
        <v>2017</v>
      </c>
      <c r="C3113">
        <v>54.612036489497598</v>
      </c>
      <c r="D3113" t="s">
        <v>340</v>
      </c>
      <c r="E3113" t="s">
        <v>341</v>
      </c>
      <c r="F3113" t="s">
        <v>342</v>
      </c>
    </row>
    <row r="3114" spans="1:6" x14ac:dyDescent="0.2">
      <c r="A3114">
        <v>12000983</v>
      </c>
      <c r="B3114">
        <v>2016</v>
      </c>
      <c r="C3114">
        <v>51.798999999999999</v>
      </c>
      <c r="D3114" t="s">
        <v>340</v>
      </c>
      <c r="E3114" t="s">
        <v>5</v>
      </c>
      <c r="F3114" t="s">
        <v>1126</v>
      </c>
    </row>
    <row r="3115" spans="1:6" x14ac:dyDescent="0.2">
      <c r="A3115">
        <v>46681088</v>
      </c>
      <c r="B3115">
        <v>2016</v>
      </c>
      <c r="C3115">
        <v>43.810866009490397</v>
      </c>
      <c r="D3115" t="s">
        <v>340</v>
      </c>
      <c r="E3115" t="s">
        <v>341</v>
      </c>
      <c r="F3115" t="s">
        <v>342</v>
      </c>
    </row>
    <row r="3116" spans="1:6" x14ac:dyDescent="0.2">
      <c r="A3116">
        <v>12000983</v>
      </c>
      <c r="B3116">
        <v>2015</v>
      </c>
      <c r="C3116">
        <v>49.642857142857103</v>
      </c>
      <c r="D3116" t="s">
        <v>340</v>
      </c>
      <c r="E3116" t="s">
        <v>5</v>
      </c>
      <c r="F3116" t="s">
        <v>1126</v>
      </c>
    </row>
    <row r="3117" spans="1:6" x14ac:dyDescent="0.2">
      <c r="A3117">
        <v>46681088</v>
      </c>
      <c r="B3117">
        <v>2015</v>
      </c>
      <c r="C3117">
        <v>42.286059926620503</v>
      </c>
      <c r="D3117" t="s">
        <v>340</v>
      </c>
      <c r="E3117" t="s">
        <v>341</v>
      </c>
      <c r="F3117" t="s">
        <v>342</v>
      </c>
    </row>
    <row r="3118" spans="1:6" x14ac:dyDescent="0.2">
      <c r="A3118">
        <v>46681088</v>
      </c>
      <c r="B3118">
        <v>2014</v>
      </c>
      <c r="C3118">
        <v>54.142202790675498</v>
      </c>
      <c r="D3118" t="s">
        <v>340</v>
      </c>
      <c r="E3118" t="s">
        <v>341</v>
      </c>
      <c r="F3118" t="s">
        <v>342</v>
      </c>
    </row>
    <row r="3119" spans="1:6" x14ac:dyDescent="0.2">
      <c r="A3119">
        <v>12000983</v>
      </c>
      <c r="B3119">
        <v>2014</v>
      </c>
      <c r="C3119">
        <v>43.75</v>
      </c>
      <c r="D3119" t="s">
        <v>340</v>
      </c>
      <c r="E3119" t="s">
        <v>5</v>
      </c>
      <c r="F3119" t="s">
        <v>1126</v>
      </c>
    </row>
    <row r="3120" spans="1:6" x14ac:dyDescent="0.2">
      <c r="A3120">
        <v>12000983</v>
      </c>
      <c r="B3120">
        <v>2013</v>
      </c>
      <c r="C3120">
        <v>44.4</v>
      </c>
      <c r="D3120" t="s">
        <v>340</v>
      </c>
      <c r="E3120" t="s">
        <v>5</v>
      </c>
      <c r="F3120" t="s">
        <v>1126</v>
      </c>
    </row>
    <row r="3121" spans="1:6" x14ac:dyDescent="0.2">
      <c r="A3121">
        <v>12000983</v>
      </c>
      <c r="B3121">
        <v>2012</v>
      </c>
      <c r="C3121">
        <v>52.5</v>
      </c>
      <c r="D3121" t="s">
        <v>340</v>
      </c>
      <c r="E3121" t="s">
        <v>5</v>
      </c>
      <c r="F3121" t="s">
        <v>1126</v>
      </c>
    </row>
    <row r="3122" spans="1:6" x14ac:dyDescent="0.2">
      <c r="A3122">
        <v>46681088</v>
      </c>
      <c r="B3122">
        <v>2012</v>
      </c>
      <c r="C3122">
        <v>51.922503446917503</v>
      </c>
      <c r="D3122" t="s">
        <v>340</v>
      </c>
      <c r="E3122" t="s">
        <v>341</v>
      </c>
      <c r="F3122" t="s">
        <v>342</v>
      </c>
    </row>
    <row r="3123" spans="1:6" x14ac:dyDescent="0.2">
      <c r="A3123">
        <v>12000983</v>
      </c>
      <c r="B3123">
        <v>2011</v>
      </c>
      <c r="C3123">
        <v>48.33</v>
      </c>
      <c r="D3123" t="s">
        <v>340</v>
      </c>
      <c r="E3123" t="s">
        <v>5</v>
      </c>
      <c r="F3123" t="s">
        <v>1126</v>
      </c>
    </row>
    <row r="3124" spans="1:6" x14ac:dyDescent="0.2">
      <c r="A3124">
        <v>46681088</v>
      </c>
      <c r="B3124">
        <v>2011</v>
      </c>
      <c r="C3124">
        <v>47.5</v>
      </c>
      <c r="D3124" t="s">
        <v>340</v>
      </c>
      <c r="E3124" t="s">
        <v>341</v>
      </c>
      <c r="F3124" t="s">
        <v>342</v>
      </c>
    </row>
    <row r="3125" spans="1:6" x14ac:dyDescent="0.2">
      <c r="A3125">
        <v>12000983</v>
      </c>
      <c r="B3125">
        <v>2010</v>
      </c>
      <c r="C3125">
        <v>45.75</v>
      </c>
      <c r="D3125" t="s">
        <v>340</v>
      </c>
      <c r="E3125" t="s">
        <v>5</v>
      </c>
      <c r="F3125" t="s">
        <v>1126</v>
      </c>
    </row>
    <row r="3126" spans="1:6" x14ac:dyDescent="0.2">
      <c r="A3126">
        <v>28573498</v>
      </c>
      <c r="B3126">
        <v>2019</v>
      </c>
      <c r="C3126">
        <v>64.2</v>
      </c>
      <c r="D3126" t="s">
        <v>811</v>
      </c>
      <c r="E3126" t="s">
        <v>5</v>
      </c>
      <c r="F3126" t="s">
        <v>1126</v>
      </c>
    </row>
    <row r="3127" spans="1:6" x14ac:dyDescent="0.2">
      <c r="A3127">
        <v>22227408</v>
      </c>
      <c r="B3127">
        <v>2020</v>
      </c>
      <c r="C3127">
        <v>46.625</v>
      </c>
      <c r="D3127" t="s">
        <v>343</v>
      </c>
      <c r="E3127" t="s">
        <v>344</v>
      </c>
      <c r="F3127" t="s">
        <v>345</v>
      </c>
    </row>
    <row r="3128" spans="1:6" x14ac:dyDescent="0.2">
      <c r="A3128">
        <v>22227408</v>
      </c>
      <c r="B3128">
        <v>2019</v>
      </c>
      <c r="C3128">
        <v>46.6666666666667</v>
      </c>
      <c r="D3128" t="s">
        <v>343</v>
      </c>
      <c r="E3128" t="s">
        <v>344</v>
      </c>
      <c r="F3128" t="s">
        <v>345</v>
      </c>
    </row>
    <row r="3129" spans="1:6" x14ac:dyDescent="0.2">
      <c r="A3129">
        <v>22227408</v>
      </c>
      <c r="B3129">
        <v>2018</v>
      </c>
      <c r="C3129">
        <v>46.8888888888889</v>
      </c>
      <c r="D3129" t="s">
        <v>343</v>
      </c>
      <c r="E3129" t="s">
        <v>344</v>
      </c>
      <c r="F3129" t="s">
        <v>345</v>
      </c>
    </row>
    <row r="3130" spans="1:6" x14ac:dyDescent="0.2">
      <c r="A3130">
        <v>22227408</v>
      </c>
      <c r="B3130">
        <v>2017</v>
      </c>
      <c r="C3130">
        <v>61</v>
      </c>
      <c r="D3130" t="s">
        <v>343</v>
      </c>
      <c r="E3130" t="s">
        <v>344</v>
      </c>
      <c r="F3130" t="s">
        <v>345</v>
      </c>
    </row>
    <row r="3131" spans="1:6" x14ac:dyDescent="0.2">
      <c r="A3131">
        <v>22227408</v>
      </c>
      <c r="B3131">
        <v>2016</v>
      </c>
      <c r="C3131">
        <v>45.4</v>
      </c>
      <c r="D3131" t="s">
        <v>343</v>
      </c>
      <c r="E3131" t="s">
        <v>344</v>
      </c>
      <c r="F3131" t="s">
        <v>345</v>
      </c>
    </row>
    <row r="3132" spans="1:6" x14ac:dyDescent="0.2">
      <c r="A3132">
        <v>22227408</v>
      </c>
      <c r="B3132">
        <v>2015</v>
      </c>
      <c r="C3132">
        <v>50.8</v>
      </c>
      <c r="D3132" t="s">
        <v>343</v>
      </c>
      <c r="E3132" t="s">
        <v>344</v>
      </c>
      <c r="F3132" t="s">
        <v>345</v>
      </c>
    </row>
    <row r="3133" spans="1:6" x14ac:dyDescent="0.2">
      <c r="A3133">
        <v>22227408</v>
      </c>
      <c r="B3133">
        <v>2014</v>
      </c>
      <c r="C3133">
        <v>48.3333333333333</v>
      </c>
      <c r="D3133" t="s">
        <v>343</v>
      </c>
      <c r="E3133" t="s">
        <v>344</v>
      </c>
      <c r="F3133" t="s">
        <v>345</v>
      </c>
    </row>
    <row r="3134" spans="1:6" x14ac:dyDescent="0.2">
      <c r="A3134">
        <v>56775168</v>
      </c>
      <c r="B3134">
        <v>2020</v>
      </c>
      <c r="C3134">
        <v>95.714285714285694</v>
      </c>
      <c r="D3134" t="s">
        <v>956</v>
      </c>
      <c r="E3134" t="s">
        <v>5</v>
      </c>
      <c r="F3134" t="s">
        <v>1126</v>
      </c>
    </row>
    <row r="3135" spans="1:6" x14ac:dyDescent="0.2">
      <c r="A3135">
        <v>56775168</v>
      </c>
      <c r="B3135">
        <v>2019</v>
      </c>
      <c r="C3135">
        <v>61</v>
      </c>
      <c r="D3135" t="s">
        <v>956</v>
      </c>
      <c r="E3135" t="s">
        <v>5</v>
      </c>
      <c r="F3135" t="s">
        <v>1126</v>
      </c>
    </row>
    <row r="3136" spans="1:6" x14ac:dyDescent="0.2">
      <c r="A3136">
        <v>56775168</v>
      </c>
      <c r="B3136">
        <v>2018</v>
      </c>
      <c r="C3136">
        <v>58.571428571428598</v>
      </c>
      <c r="D3136" t="s">
        <v>956</v>
      </c>
      <c r="E3136" t="s">
        <v>5</v>
      </c>
      <c r="F3136" t="s">
        <v>1126</v>
      </c>
    </row>
    <row r="3137" spans="1:6" x14ac:dyDescent="0.2">
      <c r="A3137">
        <v>56775168</v>
      </c>
      <c r="B3137">
        <v>2017</v>
      </c>
      <c r="C3137">
        <v>60.5555555555556</v>
      </c>
      <c r="D3137" t="s">
        <v>956</v>
      </c>
      <c r="E3137" t="s">
        <v>5</v>
      </c>
      <c r="F3137" t="s">
        <v>1126</v>
      </c>
    </row>
    <row r="3138" spans="1:6" x14ac:dyDescent="0.2">
      <c r="A3138">
        <v>56775168</v>
      </c>
      <c r="B3138">
        <v>2016</v>
      </c>
      <c r="C3138">
        <v>67.991666666666703</v>
      </c>
      <c r="D3138" t="s">
        <v>956</v>
      </c>
      <c r="E3138" t="s">
        <v>5</v>
      </c>
      <c r="F3138" t="s">
        <v>1126</v>
      </c>
    </row>
    <row r="3139" spans="1:6" x14ac:dyDescent="0.2">
      <c r="A3139">
        <v>56775168</v>
      </c>
      <c r="B3139">
        <v>2014</v>
      </c>
      <c r="C3139">
        <v>52.3333333333333</v>
      </c>
      <c r="D3139" t="s">
        <v>956</v>
      </c>
      <c r="E3139" t="s">
        <v>5</v>
      </c>
      <c r="F3139" t="s">
        <v>1126</v>
      </c>
    </row>
    <row r="3140" spans="1:6" x14ac:dyDescent="0.2">
      <c r="A3140">
        <v>67218652</v>
      </c>
      <c r="B3140">
        <v>2020</v>
      </c>
      <c r="C3140">
        <v>60</v>
      </c>
      <c r="D3140" t="s">
        <v>955</v>
      </c>
      <c r="E3140" t="s">
        <v>5</v>
      </c>
      <c r="F3140" t="s">
        <v>1126</v>
      </c>
    </row>
    <row r="3141" spans="1:6" x14ac:dyDescent="0.2">
      <c r="A3141">
        <v>67218652</v>
      </c>
      <c r="B3141">
        <v>2019</v>
      </c>
      <c r="C3141">
        <v>54</v>
      </c>
      <c r="D3141" t="s">
        <v>955</v>
      </c>
      <c r="E3141" t="s">
        <v>5</v>
      </c>
      <c r="F3141" t="s">
        <v>1126</v>
      </c>
    </row>
    <row r="3142" spans="1:6" x14ac:dyDescent="0.2">
      <c r="A3142">
        <v>98024438</v>
      </c>
      <c r="B3142">
        <v>2020</v>
      </c>
      <c r="C3142">
        <v>76</v>
      </c>
      <c r="D3142" t="s">
        <v>954</v>
      </c>
      <c r="E3142" t="s">
        <v>5</v>
      </c>
      <c r="F3142" t="s">
        <v>1126</v>
      </c>
    </row>
    <row r="3143" spans="1:6" x14ac:dyDescent="0.2">
      <c r="A3143">
        <v>98024438</v>
      </c>
      <c r="B3143">
        <v>2018</v>
      </c>
      <c r="C3143">
        <v>52.5</v>
      </c>
      <c r="D3143" t="s">
        <v>954</v>
      </c>
      <c r="E3143" t="s">
        <v>5</v>
      </c>
      <c r="F3143" t="s">
        <v>1126</v>
      </c>
    </row>
    <row r="3144" spans="1:6" x14ac:dyDescent="0.2">
      <c r="A3144">
        <v>98024438</v>
      </c>
      <c r="B3144">
        <v>2016</v>
      </c>
      <c r="C3144">
        <v>68</v>
      </c>
      <c r="D3144" t="s">
        <v>954</v>
      </c>
      <c r="E3144" t="s">
        <v>5</v>
      </c>
      <c r="F3144" t="s">
        <v>1126</v>
      </c>
    </row>
    <row r="3145" spans="1:6" x14ac:dyDescent="0.2">
      <c r="A3145">
        <v>58525770</v>
      </c>
      <c r="B3145">
        <v>2018</v>
      </c>
      <c r="C3145">
        <v>47.101872396745698</v>
      </c>
      <c r="D3145" t="s">
        <v>1112</v>
      </c>
      <c r="E3145" t="s">
        <v>1111</v>
      </c>
      <c r="F3145" t="s">
        <v>191</v>
      </c>
    </row>
    <row r="3146" spans="1:6" x14ac:dyDescent="0.2">
      <c r="A3146">
        <v>58525770</v>
      </c>
      <c r="B3146">
        <v>2017</v>
      </c>
      <c r="C3146">
        <v>41.424093148231101</v>
      </c>
      <c r="D3146" t="s">
        <v>1112</v>
      </c>
      <c r="E3146" t="s">
        <v>1111</v>
      </c>
      <c r="F3146" t="s">
        <v>191</v>
      </c>
    </row>
    <row r="3147" spans="1:6" x14ac:dyDescent="0.2">
      <c r="A3147">
        <v>78683020</v>
      </c>
      <c r="B3147">
        <v>2019</v>
      </c>
      <c r="C3147">
        <v>75</v>
      </c>
      <c r="D3147" t="s">
        <v>725</v>
      </c>
      <c r="E3147" t="s">
        <v>683</v>
      </c>
      <c r="F3147" t="s">
        <v>1126</v>
      </c>
    </row>
    <row r="3148" spans="1:6" x14ac:dyDescent="0.2">
      <c r="A3148">
        <v>78683020</v>
      </c>
      <c r="B3148">
        <v>2018</v>
      </c>
      <c r="C3148">
        <v>64</v>
      </c>
      <c r="D3148" t="s">
        <v>725</v>
      </c>
      <c r="E3148" t="s">
        <v>683</v>
      </c>
      <c r="F3148" t="s">
        <v>1126</v>
      </c>
    </row>
    <row r="3149" spans="1:6" x14ac:dyDescent="0.2">
      <c r="A3149">
        <v>26718520</v>
      </c>
      <c r="B3149">
        <v>2020</v>
      </c>
      <c r="C3149">
        <v>99.3333333333333</v>
      </c>
      <c r="D3149" t="s">
        <v>1034</v>
      </c>
      <c r="E3149" t="s">
        <v>5</v>
      </c>
      <c r="F3149" t="s">
        <v>1126</v>
      </c>
    </row>
    <row r="3150" spans="1:6" x14ac:dyDescent="0.2">
      <c r="A3150">
        <v>26718520</v>
      </c>
      <c r="B3150">
        <v>2019</v>
      </c>
      <c r="C3150">
        <v>63.5555555555556</v>
      </c>
      <c r="D3150" t="s">
        <v>1034</v>
      </c>
      <c r="E3150" t="s">
        <v>5</v>
      </c>
      <c r="F3150" t="s">
        <v>1126</v>
      </c>
    </row>
    <row r="3151" spans="1:6" x14ac:dyDescent="0.2">
      <c r="A3151">
        <v>26718520</v>
      </c>
      <c r="B3151">
        <v>2018</v>
      </c>
      <c r="C3151">
        <v>68.121875000000003</v>
      </c>
      <c r="D3151" t="s">
        <v>1034</v>
      </c>
      <c r="E3151" t="s">
        <v>5</v>
      </c>
      <c r="F3151" t="s">
        <v>1126</v>
      </c>
    </row>
    <row r="3152" spans="1:6" x14ac:dyDescent="0.2">
      <c r="A3152">
        <v>26718520</v>
      </c>
      <c r="B3152">
        <v>2016</v>
      </c>
      <c r="C3152">
        <v>53</v>
      </c>
      <c r="D3152" t="s">
        <v>1034</v>
      </c>
      <c r="E3152" t="s">
        <v>5</v>
      </c>
      <c r="F3152" t="s">
        <v>1126</v>
      </c>
    </row>
    <row r="3153" spans="1:6" x14ac:dyDescent="0.2">
      <c r="A3153">
        <v>26718520</v>
      </c>
      <c r="B3153">
        <v>2015</v>
      </c>
      <c r="C3153">
        <v>52.8333333333333</v>
      </c>
      <c r="D3153" t="s">
        <v>1034</v>
      </c>
      <c r="E3153" t="s">
        <v>5</v>
      </c>
      <c r="F3153" t="s">
        <v>1126</v>
      </c>
    </row>
    <row r="3154" spans="1:6" x14ac:dyDescent="0.2">
      <c r="A3154">
        <v>84387638</v>
      </c>
      <c r="B3154">
        <v>2020</v>
      </c>
      <c r="C3154">
        <v>31.6458163290262</v>
      </c>
      <c r="D3154" t="s">
        <v>326</v>
      </c>
      <c r="E3154" t="s">
        <v>327</v>
      </c>
      <c r="F3154" t="s">
        <v>271</v>
      </c>
    </row>
    <row r="3155" spans="1:6" x14ac:dyDescent="0.2">
      <c r="A3155">
        <v>84387638</v>
      </c>
      <c r="B3155">
        <v>2019</v>
      </c>
      <c r="C3155">
        <v>35.941001817004199</v>
      </c>
      <c r="D3155" t="s">
        <v>326</v>
      </c>
      <c r="E3155" t="s">
        <v>327</v>
      </c>
      <c r="F3155" t="s">
        <v>271</v>
      </c>
    </row>
    <row r="3156" spans="1:6" x14ac:dyDescent="0.2">
      <c r="A3156">
        <v>84387638</v>
      </c>
      <c r="B3156">
        <v>2018</v>
      </c>
      <c r="C3156">
        <v>41.343391781070203</v>
      </c>
      <c r="D3156" t="s">
        <v>326</v>
      </c>
      <c r="E3156" t="s">
        <v>327</v>
      </c>
      <c r="F3156" t="s">
        <v>271</v>
      </c>
    </row>
    <row r="3157" spans="1:6" x14ac:dyDescent="0.2">
      <c r="A3157">
        <v>84387638</v>
      </c>
      <c r="B3157">
        <v>2017</v>
      </c>
      <c r="C3157">
        <v>40.2065492909502</v>
      </c>
      <c r="D3157" t="s">
        <v>326</v>
      </c>
      <c r="E3157" t="s">
        <v>327</v>
      </c>
      <c r="F3157" t="s">
        <v>271</v>
      </c>
    </row>
    <row r="3158" spans="1:6" x14ac:dyDescent="0.2">
      <c r="A3158">
        <v>84387638</v>
      </c>
      <c r="B3158">
        <v>2016</v>
      </c>
      <c r="C3158">
        <v>34.476277546464601</v>
      </c>
      <c r="D3158" t="s">
        <v>326</v>
      </c>
      <c r="E3158" t="s">
        <v>327</v>
      </c>
      <c r="F3158" t="s">
        <v>271</v>
      </c>
    </row>
    <row r="3159" spans="1:6" x14ac:dyDescent="0.2">
      <c r="A3159">
        <v>84387638</v>
      </c>
      <c r="B3159">
        <v>2015</v>
      </c>
      <c r="C3159">
        <v>36.300472190413601</v>
      </c>
      <c r="D3159" t="s">
        <v>326</v>
      </c>
      <c r="E3159" t="s">
        <v>327</v>
      </c>
      <c r="F3159" t="s">
        <v>271</v>
      </c>
    </row>
    <row r="3160" spans="1:6" x14ac:dyDescent="0.2">
      <c r="A3160">
        <v>84387638</v>
      </c>
      <c r="B3160">
        <v>2014</v>
      </c>
      <c r="C3160">
        <v>47.927911025401897</v>
      </c>
      <c r="D3160" t="s">
        <v>326</v>
      </c>
      <c r="E3160" t="s">
        <v>327</v>
      </c>
      <c r="F3160" t="s">
        <v>271</v>
      </c>
    </row>
    <row r="3161" spans="1:6" x14ac:dyDescent="0.2">
      <c r="A3161">
        <v>84387638</v>
      </c>
      <c r="B3161">
        <v>2013</v>
      </c>
      <c r="C3161">
        <v>36.615405099527301</v>
      </c>
      <c r="D3161" t="s">
        <v>326</v>
      </c>
      <c r="E3161" t="s">
        <v>327</v>
      </c>
      <c r="F3161" t="s">
        <v>271</v>
      </c>
    </row>
    <row r="3162" spans="1:6" x14ac:dyDescent="0.2">
      <c r="A3162">
        <v>84387638</v>
      </c>
      <c r="B3162">
        <v>2012</v>
      </c>
      <c r="C3162">
        <v>40.066615176675</v>
      </c>
      <c r="D3162" t="s">
        <v>326</v>
      </c>
      <c r="E3162" t="s">
        <v>327</v>
      </c>
      <c r="F3162" t="s">
        <v>271</v>
      </c>
    </row>
    <row r="3163" spans="1:6" x14ac:dyDescent="0.2">
      <c r="A3163">
        <v>84387638</v>
      </c>
      <c r="B3163">
        <v>2011</v>
      </c>
      <c r="C3163">
        <v>40.75</v>
      </c>
      <c r="D3163" t="s">
        <v>326</v>
      </c>
      <c r="E3163" t="s">
        <v>327</v>
      </c>
      <c r="F3163" t="s">
        <v>271</v>
      </c>
    </row>
    <row r="3164" spans="1:6" x14ac:dyDescent="0.2">
      <c r="A3164">
        <v>84387638</v>
      </c>
      <c r="B3164">
        <v>2010</v>
      </c>
      <c r="C3164">
        <v>53.7592</v>
      </c>
      <c r="D3164" t="s">
        <v>326</v>
      </c>
      <c r="E3164" t="s">
        <v>327</v>
      </c>
      <c r="F3164" t="s">
        <v>271</v>
      </c>
    </row>
    <row r="3165" spans="1:6" x14ac:dyDescent="0.2">
      <c r="A3165">
        <v>28822940</v>
      </c>
      <c r="B3165">
        <v>2020</v>
      </c>
      <c r="C3165">
        <v>45.022171316364002</v>
      </c>
      <c r="D3165" t="s">
        <v>684</v>
      </c>
      <c r="E3165"/>
      <c r="F3165" t="s">
        <v>685</v>
      </c>
    </row>
    <row r="3166" spans="1:6" x14ac:dyDescent="0.2">
      <c r="A3166">
        <v>28822940</v>
      </c>
      <c r="B3166">
        <v>2019</v>
      </c>
      <c r="C3166">
        <v>55.345911949685501</v>
      </c>
      <c r="D3166" t="s">
        <v>684</v>
      </c>
      <c r="E3166"/>
      <c r="F3166" t="s">
        <v>685</v>
      </c>
    </row>
    <row r="3167" spans="1:6" x14ac:dyDescent="0.2">
      <c r="A3167">
        <v>28822940</v>
      </c>
      <c r="B3167">
        <v>2018</v>
      </c>
      <c r="C3167">
        <v>61.392054350417503</v>
      </c>
      <c r="D3167" t="s">
        <v>684</v>
      </c>
      <c r="E3167"/>
      <c r="F3167" t="s">
        <v>685</v>
      </c>
    </row>
    <row r="3168" spans="1:6" x14ac:dyDescent="0.2">
      <c r="A3168">
        <v>28822940</v>
      </c>
      <c r="B3168">
        <v>2017</v>
      </c>
      <c r="C3168">
        <v>48.623738452338799</v>
      </c>
      <c r="D3168" t="s">
        <v>684</v>
      </c>
      <c r="E3168"/>
      <c r="F3168" t="s">
        <v>685</v>
      </c>
    </row>
    <row r="3169" spans="1:6" x14ac:dyDescent="0.2">
      <c r="A3169">
        <v>28822940</v>
      </c>
      <c r="B3169">
        <v>2016</v>
      </c>
      <c r="C3169">
        <v>51.4154630712315</v>
      </c>
      <c r="D3169" t="s">
        <v>684</v>
      </c>
      <c r="E3169"/>
      <c r="F3169" t="s">
        <v>685</v>
      </c>
    </row>
    <row r="3170" spans="1:6" x14ac:dyDescent="0.2">
      <c r="A3170">
        <v>28822940</v>
      </c>
      <c r="B3170">
        <v>2015</v>
      </c>
      <c r="C3170">
        <v>49.506215399590403</v>
      </c>
      <c r="D3170" t="s">
        <v>684</v>
      </c>
      <c r="E3170"/>
      <c r="F3170" t="s">
        <v>685</v>
      </c>
    </row>
    <row r="3171" spans="1:6" x14ac:dyDescent="0.2">
      <c r="A3171">
        <v>28822940</v>
      </c>
      <c r="B3171">
        <v>2014</v>
      </c>
      <c r="C3171">
        <v>74.684399301600394</v>
      </c>
      <c r="D3171" t="s">
        <v>684</v>
      </c>
      <c r="E3171"/>
      <c r="F3171" t="s">
        <v>685</v>
      </c>
    </row>
    <row r="3172" spans="1:6" x14ac:dyDescent="0.2">
      <c r="A3172">
        <v>28822940</v>
      </c>
      <c r="B3172">
        <v>2013</v>
      </c>
      <c r="C3172">
        <v>72.677999507267799</v>
      </c>
      <c r="D3172" t="s">
        <v>684</v>
      </c>
      <c r="E3172"/>
      <c r="F3172" t="s">
        <v>685</v>
      </c>
    </row>
    <row r="3173" spans="1:6" x14ac:dyDescent="0.2">
      <c r="A3173">
        <v>50447962</v>
      </c>
      <c r="B3173">
        <v>2020</v>
      </c>
      <c r="C3173">
        <v>22.059579559369201</v>
      </c>
      <c r="D3173" t="s">
        <v>889</v>
      </c>
      <c r="E3173" t="s">
        <v>34</v>
      </c>
      <c r="F3173" t="s">
        <v>35</v>
      </c>
    </row>
    <row r="3174" spans="1:6" x14ac:dyDescent="0.2">
      <c r="A3174">
        <v>50447962</v>
      </c>
      <c r="B3174">
        <v>2019</v>
      </c>
      <c r="C3174">
        <v>27.491534445463699</v>
      </c>
      <c r="D3174" t="s">
        <v>889</v>
      </c>
      <c r="E3174" t="s">
        <v>34</v>
      </c>
      <c r="F3174" t="s">
        <v>35</v>
      </c>
    </row>
    <row r="3175" spans="1:6" x14ac:dyDescent="0.2">
      <c r="A3175">
        <v>50447962</v>
      </c>
      <c r="B3175">
        <v>2018</v>
      </c>
      <c r="C3175">
        <v>31.288607186979601</v>
      </c>
      <c r="D3175" t="s">
        <v>889</v>
      </c>
      <c r="E3175" t="s">
        <v>34</v>
      </c>
      <c r="F3175" t="s">
        <v>35</v>
      </c>
    </row>
    <row r="3176" spans="1:6" x14ac:dyDescent="0.2">
      <c r="A3176">
        <v>50447962</v>
      </c>
      <c r="B3176">
        <v>2017</v>
      </c>
      <c r="C3176">
        <v>29.728294673604701</v>
      </c>
      <c r="D3176" t="s">
        <v>889</v>
      </c>
      <c r="E3176" t="s">
        <v>34</v>
      </c>
      <c r="F3176" t="s">
        <v>35</v>
      </c>
    </row>
    <row r="3177" spans="1:6" x14ac:dyDescent="0.2">
      <c r="A3177">
        <v>12077830</v>
      </c>
      <c r="B3177">
        <v>2020</v>
      </c>
      <c r="C3177">
        <v>21.956292121178102</v>
      </c>
      <c r="D3177" t="s">
        <v>1013</v>
      </c>
      <c r="E3177" t="s">
        <v>34</v>
      </c>
      <c r="F3177" t="s">
        <v>35</v>
      </c>
    </row>
    <row r="3178" spans="1:6" x14ac:dyDescent="0.2">
      <c r="A3178">
        <v>12077830</v>
      </c>
      <c r="B3178">
        <v>2019</v>
      </c>
      <c r="C3178">
        <v>24.971970237488499</v>
      </c>
      <c r="D3178" t="s">
        <v>1013</v>
      </c>
      <c r="E3178" t="s">
        <v>34</v>
      </c>
      <c r="F3178" t="s">
        <v>35</v>
      </c>
    </row>
    <row r="3179" spans="1:6" x14ac:dyDescent="0.2">
      <c r="A3179">
        <v>12077830</v>
      </c>
      <c r="B3179">
        <v>2018</v>
      </c>
      <c r="C3179">
        <v>35.093373440045802</v>
      </c>
      <c r="D3179" t="s">
        <v>1013</v>
      </c>
      <c r="E3179" t="s">
        <v>34</v>
      </c>
      <c r="F3179" t="s">
        <v>35</v>
      </c>
    </row>
    <row r="3180" spans="1:6" x14ac:dyDescent="0.2">
      <c r="A3180">
        <v>12077830</v>
      </c>
      <c r="B3180">
        <v>2016</v>
      </c>
      <c r="C3180">
        <v>17.2519380961987</v>
      </c>
      <c r="D3180" t="s">
        <v>1013</v>
      </c>
      <c r="E3180" t="s">
        <v>34</v>
      </c>
      <c r="F3180" t="s">
        <v>35</v>
      </c>
    </row>
    <row r="3181" spans="1:6" x14ac:dyDescent="0.2">
      <c r="A3181">
        <v>12077830</v>
      </c>
      <c r="B3181">
        <v>2011</v>
      </c>
      <c r="C3181">
        <v>94.936708860759495</v>
      </c>
      <c r="D3181" t="s">
        <v>1013</v>
      </c>
      <c r="E3181" t="s">
        <v>34</v>
      </c>
      <c r="F3181" t="s">
        <v>35</v>
      </c>
    </row>
    <row r="3182" spans="1:6" x14ac:dyDescent="0.2">
      <c r="A3182">
        <v>85694620</v>
      </c>
      <c r="B3182">
        <v>2020</v>
      </c>
      <c r="C3182">
        <v>21.5162800676387</v>
      </c>
      <c r="D3182" t="s">
        <v>34</v>
      </c>
      <c r="E3182" t="s">
        <v>34</v>
      </c>
      <c r="F3182" t="s">
        <v>35</v>
      </c>
    </row>
    <row r="3183" spans="1:6" x14ac:dyDescent="0.2">
      <c r="A3183">
        <v>85694620</v>
      </c>
      <c r="B3183">
        <v>2019</v>
      </c>
      <c r="C3183">
        <v>27.8519246313464</v>
      </c>
      <c r="D3183" t="s">
        <v>34</v>
      </c>
      <c r="E3183" t="s">
        <v>34</v>
      </c>
      <c r="F3183" t="s">
        <v>35</v>
      </c>
    </row>
    <row r="3184" spans="1:6" x14ac:dyDescent="0.2">
      <c r="A3184">
        <v>85694620</v>
      </c>
      <c r="B3184">
        <v>2018</v>
      </c>
      <c r="C3184">
        <v>30.158371067335398</v>
      </c>
      <c r="D3184" t="s">
        <v>34</v>
      </c>
      <c r="E3184" t="s">
        <v>34</v>
      </c>
      <c r="F3184" t="s">
        <v>35</v>
      </c>
    </row>
    <row r="3185" spans="1:6" x14ac:dyDescent="0.2">
      <c r="A3185">
        <v>85694620</v>
      </c>
      <c r="B3185">
        <v>2017</v>
      </c>
      <c r="C3185">
        <v>30.3781406531835</v>
      </c>
      <c r="D3185" t="s">
        <v>34</v>
      </c>
      <c r="E3185" t="s">
        <v>34</v>
      </c>
      <c r="F3185" t="s">
        <v>35</v>
      </c>
    </row>
    <row r="3186" spans="1:6" x14ac:dyDescent="0.2">
      <c r="A3186">
        <v>85694620</v>
      </c>
      <c r="B3186">
        <v>2016</v>
      </c>
      <c r="C3186">
        <v>21.742978099046798</v>
      </c>
      <c r="D3186" t="s">
        <v>34</v>
      </c>
      <c r="E3186" t="s">
        <v>34</v>
      </c>
      <c r="F3186" t="s">
        <v>35</v>
      </c>
    </row>
    <row r="3187" spans="1:6" x14ac:dyDescent="0.2">
      <c r="A3187">
        <v>85694620</v>
      </c>
      <c r="B3187">
        <v>2015</v>
      </c>
      <c r="C3187">
        <v>24.390145570624799</v>
      </c>
      <c r="D3187" t="s">
        <v>34</v>
      </c>
      <c r="E3187" t="s">
        <v>34</v>
      </c>
      <c r="F3187" t="s">
        <v>35</v>
      </c>
    </row>
    <row r="3188" spans="1:6" x14ac:dyDescent="0.2">
      <c r="A3188">
        <v>85694620</v>
      </c>
      <c r="B3188">
        <v>2014</v>
      </c>
      <c r="C3188">
        <v>31.233487314735001</v>
      </c>
      <c r="D3188" t="s">
        <v>34</v>
      </c>
      <c r="E3188" t="s">
        <v>34</v>
      </c>
      <c r="F3188" t="s">
        <v>35</v>
      </c>
    </row>
    <row r="3189" spans="1:6" x14ac:dyDescent="0.2">
      <c r="A3189">
        <v>85694620</v>
      </c>
      <c r="B3189">
        <v>2013</v>
      </c>
      <c r="C3189">
        <v>35.846313603322898</v>
      </c>
      <c r="D3189" t="s">
        <v>34</v>
      </c>
      <c r="E3189" t="s">
        <v>34</v>
      </c>
      <c r="F3189" t="s">
        <v>35</v>
      </c>
    </row>
    <row r="3190" spans="1:6" x14ac:dyDescent="0.2">
      <c r="A3190">
        <v>85694620</v>
      </c>
      <c r="B3190">
        <v>2012</v>
      </c>
      <c r="C3190">
        <v>41.009852216748797</v>
      </c>
      <c r="D3190" t="s">
        <v>34</v>
      </c>
      <c r="E3190" t="s">
        <v>34</v>
      </c>
      <c r="F3190" t="s">
        <v>35</v>
      </c>
    </row>
    <row r="3191" spans="1:6" x14ac:dyDescent="0.2">
      <c r="A3191">
        <v>85694620</v>
      </c>
      <c r="B3191">
        <v>2011</v>
      </c>
      <c r="C3191">
        <v>56.7811934900542</v>
      </c>
      <c r="D3191" t="s">
        <v>34</v>
      </c>
      <c r="E3191" t="s">
        <v>34</v>
      </c>
      <c r="F3191" t="s">
        <v>35</v>
      </c>
    </row>
    <row r="3192" spans="1:6" x14ac:dyDescent="0.2">
      <c r="A3192">
        <v>85694620</v>
      </c>
      <c r="B3192">
        <v>2010</v>
      </c>
      <c r="C3192">
        <v>43.956043956043999</v>
      </c>
      <c r="D3192" t="s">
        <v>34</v>
      </c>
      <c r="E3192" t="s">
        <v>34</v>
      </c>
      <c r="F3192" t="s">
        <v>35</v>
      </c>
    </row>
    <row r="3193" spans="1:6" x14ac:dyDescent="0.2">
      <c r="A3193">
        <v>80536537</v>
      </c>
      <c r="B3193">
        <v>2020</v>
      </c>
      <c r="C3193">
        <v>22.838865266615802</v>
      </c>
      <c r="D3193" t="s">
        <v>539</v>
      </c>
      <c r="E3193" t="s">
        <v>540</v>
      </c>
      <c r="F3193" t="s">
        <v>541</v>
      </c>
    </row>
    <row r="3194" spans="1:6" x14ac:dyDescent="0.2">
      <c r="A3194">
        <v>80536537</v>
      </c>
      <c r="B3194">
        <v>2019</v>
      </c>
      <c r="C3194">
        <v>25.654517435023401</v>
      </c>
      <c r="D3194" t="s">
        <v>539</v>
      </c>
      <c r="E3194" t="s">
        <v>540</v>
      </c>
      <c r="F3194" t="s">
        <v>541</v>
      </c>
    </row>
    <row r="3195" spans="1:6" x14ac:dyDescent="0.2">
      <c r="A3195">
        <v>80536537</v>
      </c>
      <c r="B3195">
        <v>2018</v>
      </c>
      <c r="C3195">
        <v>25.325617529340899</v>
      </c>
      <c r="D3195" t="s">
        <v>539</v>
      </c>
      <c r="E3195" t="s">
        <v>540</v>
      </c>
      <c r="F3195" t="s">
        <v>541</v>
      </c>
    </row>
    <row r="3196" spans="1:6" x14ac:dyDescent="0.2">
      <c r="A3196">
        <v>80536537</v>
      </c>
      <c r="B3196">
        <v>2017</v>
      </c>
      <c r="C3196">
        <v>18.271174210603402</v>
      </c>
      <c r="D3196" t="s">
        <v>539</v>
      </c>
      <c r="E3196" t="s">
        <v>540</v>
      </c>
      <c r="F3196" t="s">
        <v>541</v>
      </c>
    </row>
    <row r="3197" spans="1:6" x14ac:dyDescent="0.2">
      <c r="A3197">
        <v>80536537</v>
      </c>
      <c r="B3197">
        <v>2016</v>
      </c>
      <c r="C3197">
        <v>14.2229820157873</v>
      </c>
      <c r="D3197" t="s">
        <v>539</v>
      </c>
      <c r="E3197" t="s">
        <v>540</v>
      </c>
      <c r="F3197" t="s">
        <v>541</v>
      </c>
    </row>
    <row r="3198" spans="1:6" x14ac:dyDescent="0.2">
      <c r="A3198">
        <v>80536537</v>
      </c>
      <c r="B3198">
        <v>2015</v>
      </c>
      <c r="C3198">
        <v>13.459469819535601</v>
      </c>
      <c r="D3198" t="s">
        <v>539</v>
      </c>
      <c r="E3198" t="s">
        <v>540</v>
      </c>
      <c r="F3198" t="s">
        <v>541</v>
      </c>
    </row>
    <row r="3199" spans="1:6" x14ac:dyDescent="0.2">
      <c r="A3199">
        <v>80536537</v>
      </c>
      <c r="B3199">
        <v>2014</v>
      </c>
      <c r="C3199">
        <v>15.7330927095625</v>
      </c>
      <c r="D3199" t="s">
        <v>539</v>
      </c>
      <c r="E3199" t="s">
        <v>540</v>
      </c>
      <c r="F3199" t="s">
        <v>541</v>
      </c>
    </row>
    <row r="3200" spans="1:6" x14ac:dyDescent="0.2">
      <c r="A3200">
        <v>80536537</v>
      </c>
      <c r="B3200">
        <v>2013</v>
      </c>
      <c r="C3200">
        <v>17.141883532976301</v>
      </c>
      <c r="D3200" t="s">
        <v>539</v>
      </c>
      <c r="E3200" t="s">
        <v>540</v>
      </c>
      <c r="F3200" t="s">
        <v>541</v>
      </c>
    </row>
    <row r="3201" spans="1:6" x14ac:dyDescent="0.2">
      <c r="A3201">
        <v>80536537</v>
      </c>
      <c r="B3201">
        <v>2012</v>
      </c>
      <c r="C3201">
        <v>18.389689920722802</v>
      </c>
      <c r="D3201" t="s">
        <v>539</v>
      </c>
      <c r="E3201" t="s">
        <v>540</v>
      </c>
      <c r="F3201" t="s">
        <v>541</v>
      </c>
    </row>
    <row r="3202" spans="1:6" x14ac:dyDescent="0.2">
      <c r="A3202">
        <v>80536537</v>
      </c>
      <c r="B3202">
        <v>2011</v>
      </c>
      <c r="C3202">
        <v>21.739130434782599</v>
      </c>
      <c r="D3202" t="s">
        <v>539</v>
      </c>
      <c r="E3202" t="s">
        <v>540</v>
      </c>
      <c r="F3202" t="s">
        <v>541</v>
      </c>
    </row>
    <row r="3203" spans="1:6" x14ac:dyDescent="0.2">
      <c r="A3203">
        <v>80536537</v>
      </c>
      <c r="B3203">
        <v>2010</v>
      </c>
      <c r="C3203">
        <v>21.3991769547325</v>
      </c>
      <c r="D3203" t="s">
        <v>539</v>
      </c>
      <c r="E3203" t="s">
        <v>540</v>
      </c>
      <c r="F3203" t="s">
        <v>541</v>
      </c>
    </row>
    <row r="3204" spans="1:6" x14ac:dyDescent="0.2">
      <c r="A3204">
        <v>82530593</v>
      </c>
      <c r="B3204">
        <v>2019</v>
      </c>
      <c r="C3204">
        <v>57.25</v>
      </c>
      <c r="D3204" t="s">
        <v>1073</v>
      </c>
      <c r="E3204" t="s">
        <v>494</v>
      </c>
      <c r="F3204" t="s">
        <v>1126</v>
      </c>
    </row>
    <row r="3205" spans="1:6" x14ac:dyDescent="0.2">
      <c r="A3205">
        <v>82530593</v>
      </c>
      <c r="B3205">
        <v>2018</v>
      </c>
      <c r="C3205">
        <v>59</v>
      </c>
      <c r="D3205" t="s">
        <v>1073</v>
      </c>
      <c r="E3205" t="s">
        <v>494</v>
      </c>
      <c r="F3205" t="s">
        <v>1126</v>
      </c>
    </row>
    <row r="3206" spans="1:6" x14ac:dyDescent="0.2">
      <c r="A3206">
        <v>45513253</v>
      </c>
      <c r="B3206">
        <v>2020</v>
      </c>
      <c r="C3206">
        <v>6.6522882208407603</v>
      </c>
      <c r="D3206" t="s">
        <v>450</v>
      </c>
      <c r="E3206" t="s">
        <v>451</v>
      </c>
      <c r="F3206" t="s">
        <v>94</v>
      </c>
    </row>
    <row r="3207" spans="1:6" x14ac:dyDescent="0.2">
      <c r="A3207">
        <v>45513253</v>
      </c>
      <c r="B3207">
        <v>2019</v>
      </c>
      <c r="C3207">
        <v>6.8897591027972398</v>
      </c>
      <c r="D3207" t="s">
        <v>450</v>
      </c>
      <c r="E3207" t="s">
        <v>451</v>
      </c>
      <c r="F3207" t="s">
        <v>94</v>
      </c>
    </row>
    <row r="3208" spans="1:6" x14ac:dyDescent="0.2">
      <c r="A3208">
        <v>45513253</v>
      </c>
      <c r="B3208">
        <v>2018</v>
      </c>
      <c r="C3208">
        <v>6.8546551387391101</v>
      </c>
      <c r="D3208" t="s">
        <v>450</v>
      </c>
      <c r="E3208" t="s">
        <v>451</v>
      </c>
      <c r="F3208" t="s">
        <v>94</v>
      </c>
    </row>
    <row r="3209" spans="1:6" x14ac:dyDescent="0.2">
      <c r="A3209">
        <v>33624009</v>
      </c>
      <c r="B3209">
        <v>2020</v>
      </c>
      <c r="C3209">
        <v>56.3035171760026</v>
      </c>
      <c r="D3209" t="s">
        <v>534</v>
      </c>
      <c r="E3209" t="s">
        <v>296</v>
      </c>
      <c r="F3209" t="s">
        <v>33</v>
      </c>
    </row>
    <row r="3210" spans="1:6" x14ac:dyDescent="0.2">
      <c r="A3210">
        <v>33624009</v>
      </c>
      <c r="B3210">
        <v>2019</v>
      </c>
      <c r="C3210">
        <v>60.3960794338157</v>
      </c>
      <c r="D3210" t="s">
        <v>534</v>
      </c>
      <c r="E3210" t="s">
        <v>296</v>
      </c>
      <c r="F3210" t="s">
        <v>33</v>
      </c>
    </row>
    <row r="3211" spans="1:6" x14ac:dyDescent="0.2">
      <c r="A3211">
        <v>33624009</v>
      </c>
      <c r="B3211">
        <v>2018</v>
      </c>
      <c r="C3211">
        <v>57.104513690255303</v>
      </c>
      <c r="D3211" t="s">
        <v>534</v>
      </c>
      <c r="E3211" t="s">
        <v>296</v>
      </c>
      <c r="F3211" t="s">
        <v>33</v>
      </c>
    </row>
    <row r="3212" spans="1:6" x14ac:dyDescent="0.2">
      <c r="A3212">
        <v>33624009</v>
      </c>
      <c r="B3212">
        <v>2017</v>
      </c>
      <c r="C3212">
        <v>55.383030075360999</v>
      </c>
      <c r="D3212" t="s">
        <v>534</v>
      </c>
      <c r="E3212" t="s">
        <v>296</v>
      </c>
      <c r="F3212" t="s">
        <v>33</v>
      </c>
    </row>
    <row r="3213" spans="1:6" x14ac:dyDescent="0.2">
      <c r="A3213">
        <v>33624009</v>
      </c>
      <c r="B3213">
        <v>2015</v>
      </c>
      <c r="C3213">
        <v>51.3193558673469</v>
      </c>
      <c r="D3213" t="s">
        <v>534</v>
      </c>
      <c r="E3213" t="s">
        <v>296</v>
      </c>
      <c r="F3213" t="s">
        <v>33</v>
      </c>
    </row>
    <row r="3214" spans="1:6" x14ac:dyDescent="0.2">
      <c r="A3214">
        <v>33624009</v>
      </c>
      <c r="B3214">
        <v>2014</v>
      </c>
      <c r="C3214">
        <v>53.743627541305798</v>
      </c>
      <c r="D3214" t="s">
        <v>534</v>
      </c>
      <c r="E3214" t="s">
        <v>296</v>
      </c>
      <c r="F3214" t="s">
        <v>33</v>
      </c>
    </row>
    <row r="3215" spans="1:6" x14ac:dyDescent="0.2">
      <c r="A3215">
        <v>33624009</v>
      </c>
      <c r="B3215">
        <v>2012</v>
      </c>
      <c r="C3215">
        <v>43.6893203883495</v>
      </c>
      <c r="D3215" t="s">
        <v>534</v>
      </c>
      <c r="E3215" t="s">
        <v>296</v>
      </c>
      <c r="F3215" t="s">
        <v>33</v>
      </c>
    </row>
    <row r="3216" spans="1:6" x14ac:dyDescent="0.2">
      <c r="A3216">
        <v>11235220</v>
      </c>
      <c r="B3216">
        <v>2019</v>
      </c>
      <c r="C3216">
        <v>59.5</v>
      </c>
      <c r="D3216" t="s">
        <v>895</v>
      </c>
      <c r="E3216" t="s">
        <v>127</v>
      </c>
      <c r="F3216" t="s">
        <v>1126</v>
      </c>
    </row>
    <row r="3217" spans="1:6" x14ac:dyDescent="0.2">
      <c r="A3217">
        <v>11235220</v>
      </c>
      <c r="B3217">
        <v>2018</v>
      </c>
      <c r="C3217">
        <v>69.625</v>
      </c>
      <c r="D3217" t="s">
        <v>895</v>
      </c>
      <c r="E3217" t="s">
        <v>127</v>
      </c>
      <c r="F3217" t="s">
        <v>1126</v>
      </c>
    </row>
    <row r="3218" spans="1:6" x14ac:dyDescent="0.2">
      <c r="A3218">
        <v>49903148</v>
      </c>
      <c r="B3218">
        <v>2020</v>
      </c>
      <c r="C3218">
        <v>81.25</v>
      </c>
      <c r="D3218" t="s">
        <v>818</v>
      </c>
      <c r="E3218" t="s">
        <v>573</v>
      </c>
      <c r="F3218" t="s">
        <v>1126</v>
      </c>
    </row>
    <row r="3219" spans="1:6" x14ac:dyDescent="0.2">
      <c r="A3219">
        <v>49903148</v>
      </c>
      <c r="B3219">
        <v>2018</v>
      </c>
      <c r="C3219">
        <v>85.428571428571402</v>
      </c>
      <c r="D3219" t="s">
        <v>818</v>
      </c>
      <c r="E3219" t="s">
        <v>573</v>
      </c>
      <c r="F3219" t="s">
        <v>1126</v>
      </c>
    </row>
    <row r="3220" spans="1:6" x14ac:dyDescent="0.2">
      <c r="A3220">
        <v>13666125</v>
      </c>
      <c r="B3220">
        <v>2020</v>
      </c>
      <c r="C3220">
        <v>64.462380952380997</v>
      </c>
      <c r="D3220" t="s">
        <v>444</v>
      </c>
      <c r="E3220" t="s">
        <v>445</v>
      </c>
      <c r="F3220" t="s">
        <v>1126</v>
      </c>
    </row>
    <row r="3221" spans="1:6" x14ac:dyDescent="0.2">
      <c r="A3221">
        <v>13666125</v>
      </c>
      <c r="B3221">
        <v>2019</v>
      </c>
      <c r="C3221">
        <v>64.529740259740294</v>
      </c>
      <c r="D3221" t="s">
        <v>444</v>
      </c>
      <c r="E3221" t="s">
        <v>445</v>
      </c>
      <c r="F3221" t="s">
        <v>1126</v>
      </c>
    </row>
    <row r="3222" spans="1:6" x14ac:dyDescent="0.2">
      <c r="A3222">
        <v>13666125</v>
      </c>
      <c r="B3222">
        <v>2018</v>
      </c>
      <c r="C3222">
        <v>65.308297872340404</v>
      </c>
      <c r="D3222" t="s">
        <v>444</v>
      </c>
      <c r="E3222" t="s">
        <v>445</v>
      </c>
      <c r="F3222" t="s">
        <v>1126</v>
      </c>
    </row>
    <row r="3223" spans="1:6" x14ac:dyDescent="0.2">
      <c r="A3223">
        <v>13666125</v>
      </c>
      <c r="B3223">
        <v>2017</v>
      </c>
      <c r="C3223">
        <v>64.770491803278702</v>
      </c>
      <c r="D3223" t="s">
        <v>444</v>
      </c>
      <c r="E3223" t="s">
        <v>445</v>
      </c>
      <c r="F3223" t="s">
        <v>1126</v>
      </c>
    </row>
    <row r="3224" spans="1:6" x14ac:dyDescent="0.2">
      <c r="A3224">
        <v>13666125</v>
      </c>
      <c r="B3224">
        <v>2016</v>
      </c>
      <c r="C3224">
        <v>57.6295897032374</v>
      </c>
      <c r="D3224" t="s">
        <v>444</v>
      </c>
      <c r="E3224" t="s">
        <v>445</v>
      </c>
      <c r="F3224" t="s">
        <v>1126</v>
      </c>
    </row>
    <row r="3225" spans="1:6" x14ac:dyDescent="0.2">
      <c r="A3225">
        <v>13666125</v>
      </c>
      <c r="B3225">
        <v>2015</v>
      </c>
      <c r="C3225">
        <v>54.327446808510601</v>
      </c>
      <c r="D3225" t="s">
        <v>444</v>
      </c>
      <c r="E3225" t="s">
        <v>445</v>
      </c>
      <c r="F3225" t="s">
        <v>1126</v>
      </c>
    </row>
    <row r="3226" spans="1:6" x14ac:dyDescent="0.2">
      <c r="A3226">
        <v>13666125</v>
      </c>
      <c r="B3226">
        <v>2014</v>
      </c>
      <c r="C3226">
        <v>51.8888888888889</v>
      </c>
      <c r="D3226" t="s">
        <v>444</v>
      </c>
      <c r="E3226" t="s">
        <v>445</v>
      </c>
      <c r="F3226" t="s">
        <v>1126</v>
      </c>
    </row>
    <row r="3227" spans="1:6" x14ac:dyDescent="0.2">
      <c r="A3227">
        <v>13666125</v>
      </c>
      <c r="B3227">
        <v>2013</v>
      </c>
      <c r="C3227">
        <v>49.875</v>
      </c>
      <c r="D3227" t="s">
        <v>444</v>
      </c>
      <c r="E3227" t="s">
        <v>445</v>
      </c>
      <c r="F3227" t="s">
        <v>1126</v>
      </c>
    </row>
    <row r="3228" spans="1:6" x14ac:dyDescent="0.2">
      <c r="A3228">
        <v>13666125</v>
      </c>
      <c r="B3228">
        <v>2012</v>
      </c>
      <c r="C3228">
        <v>45</v>
      </c>
      <c r="D3228" t="s">
        <v>444</v>
      </c>
      <c r="E3228" t="s">
        <v>445</v>
      </c>
      <c r="F3228" t="s">
        <v>1126</v>
      </c>
    </row>
    <row r="3229" spans="1:6" x14ac:dyDescent="0.2">
      <c r="A3229">
        <v>13666125</v>
      </c>
      <c r="B3229">
        <v>2011</v>
      </c>
      <c r="C3229">
        <v>47.494999999999997</v>
      </c>
      <c r="D3229" t="s">
        <v>444</v>
      </c>
      <c r="E3229" t="s">
        <v>445</v>
      </c>
      <c r="F3229" t="s">
        <v>1126</v>
      </c>
    </row>
    <row r="3230" spans="1:6" x14ac:dyDescent="0.2">
      <c r="A3230">
        <v>14501537</v>
      </c>
      <c r="B3230">
        <v>2020</v>
      </c>
      <c r="C3230">
        <v>21.3914675925549</v>
      </c>
      <c r="D3230" t="s">
        <v>500</v>
      </c>
      <c r="E3230"/>
      <c r="F3230" t="s">
        <v>501</v>
      </c>
    </row>
    <row r="3231" spans="1:6" x14ac:dyDescent="0.2">
      <c r="A3231">
        <v>14501537</v>
      </c>
      <c r="B3231">
        <v>2019</v>
      </c>
      <c r="C3231">
        <v>21.585126677855602</v>
      </c>
      <c r="D3231" t="s">
        <v>500</v>
      </c>
      <c r="E3231"/>
      <c r="F3231" t="s">
        <v>501</v>
      </c>
    </row>
    <row r="3232" spans="1:6" x14ac:dyDescent="0.2">
      <c r="A3232">
        <v>14501537</v>
      </c>
      <c r="B3232">
        <v>2018</v>
      </c>
      <c r="C3232">
        <v>26.029035547700001</v>
      </c>
      <c r="D3232" t="s">
        <v>500</v>
      </c>
      <c r="E3232"/>
      <c r="F3232" t="s">
        <v>501</v>
      </c>
    </row>
    <row r="3233" spans="1:6" x14ac:dyDescent="0.2">
      <c r="A3233">
        <v>14501537</v>
      </c>
      <c r="B3233">
        <v>2017</v>
      </c>
      <c r="C3233">
        <v>21.103656640156402</v>
      </c>
      <c r="D3233" t="s">
        <v>500</v>
      </c>
      <c r="E3233"/>
      <c r="F3233" t="s">
        <v>501</v>
      </c>
    </row>
    <row r="3234" spans="1:6" x14ac:dyDescent="0.2">
      <c r="A3234">
        <v>14501537</v>
      </c>
      <c r="B3234">
        <v>2016</v>
      </c>
      <c r="C3234">
        <v>22.3411780390005</v>
      </c>
      <c r="D3234" t="s">
        <v>500</v>
      </c>
      <c r="E3234"/>
      <c r="F3234" t="s">
        <v>501</v>
      </c>
    </row>
    <row r="3235" spans="1:6" x14ac:dyDescent="0.2">
      <c r="A3235">
        <v>14501537</v>
      </c>
      <c r="B3235">
        <v>2015</v>
      </c>
      <c r="C3235">
        <v>21.951538350367901</v>
      </c>
      <c r="D3235" t="s">
        <v>500</v>
      </c>
      <c r="E3235"/>
      <c r="F3235" t="s">
        <v>501</v>
      </c>
    </row>
    <row r="3236" spans="1:6" x14ac:dyDescent="0.2">
      <c r="A3236">
        <v>14501537</v>
      </c>
      <c r="B3236">
        <v>2014</v>
      </c>
      <c r="C3236">
        <v>25.2247853858985</v>
      </c>
      <c r="D3236" t="s">
        <v>500</v>
      </c>
      <c r="E3236"/>
      <c r="F3236" t="s">
        <v>501</v>
      </c>
    </row>
    <row r="3237" spans="1:6" x14ac:dyDescent="0.2">
      <c r="A3237">
        <v>14501537</v>
      </c>
      <c r="B3237">
        <v>2013</v>
      </c>
      <c r="C3237">
        <v>26.182737450343101</v>
      </c>
      <c r="D3237" t="s">
        <v>500</v>
      </c>
      <c r="E3237"/>
      <c r="F3237" t="s">
        <v>501</v>
      </c>
    </row>
    <row r="3238" spans="1:6" x14ac:dyDescent="0.2">
      <c r="A3238">
        <v>14501537</v>
      </c>
      <c r="B3238">
        <v>2012</v>
      </c>
      <c r="C3238">
        <v>20.5813706768513</v>
      </c>
      <c r="D3238" t="s">
        <v>500</v>
      </c>
      <c r="E3238"/>
      <c r="F3238" t="s">
        <v>501</v>
      </c>
    </row>
    <row r="3239" spans="1:6" x14ac:dyDescent="0.2">
      <c r="A3239">
        <v>14501537</v>
      </c>
      <c r="B3239">
        <v>2011</v>
      </c>
      <c r="C3239">
        <v>20.5907015745831</v>
      </c>
      <c r="D3239" t="s">
        <v>500</v>
      </c>
      <c r="E3239"/>
      <c r="F3239" t="s">
        <v>501</v>
      </c>
    </row>
    <row r="3240" spans="1:6" x14ac:dyDescent="0.2">
      <c r="A3240">
        <v>98756507</v>
      </c>
      <c r="B3240">
        <v>2020</v>
      </c>
      <c r="C3240">
        <v>38.782388861549499</v>
      </c>
      <c r="D3240" t="s">
        <v>505</v>
      </c>
      <c r="E3240" t="s">
        <v>506</v>
      </c>
      <c r="F3240" t="s">
        <v>191</v>
      </c>
    </row>
    <row r="3241" spans="1:6" x14ac:dyDescent="0.2">
      <c r="A3241">
        <v>98756507</v>
      </c>
      <c r="B3241">
        <v>2019</v>
      </c>
      <c r="C3241">
        <v>41.415746938592797</v>
      </c>
      <c r="D3241" t="s">
        <v>505</v>
      </c>
      <c r="E3241" t="s">
        <v>506</v>
      </c>
      <c r="F3241" t="s">
        <v>191</v>
      </c>
    </row>
    <row r="3242" spans="1:6" x14ac:dyDescent="0.2">
      <c r="A3242">
        <v>98756507</v>
      </c>
      <c r="B3242">
        <v>2018</v>
      </c>
      <c r="C3242">
        <v>45.461370347508399</v>
      </c>
      <c r="D3242" t="s">
        <v>505</v>
      </c>
      <c r="E3242" t="s">
        <v>506</v>
      </c>
      <c r="F3242" t="s">
        <v>191</v>
      </c>
    </row>
    <row r="3243" spans="1:6" x14ac:dyDescent="0.2">
      <c r="A3243">
        <v>98756507</v>
      </c>
      <c r="B3243">
        <v>2017</v>
      </c>
      <c r="C3243">
        <v>38.485221674876797</v>
      </c>
      <c r="D3243" t="s">
        <v>505</v>
      </c>
      <c r="E3243" t="s">
        <v>506</v>
      </c>
      <c r="F3243" t="s">
        <v>191</v>
      </c>
    </row>
    <row r="3244" spans="1:6" x14ac:dyDescent="0.2">
      <c r="A3244">
        <v>98756507</v>
      </c>
      <c r="B3244">
        <v>2016</v>
      </c>
      <c r="C3244">
        <v>39.4482915200363</v>
      </c>
      <c r="D3244" t="s">
        <v>505</v>
      </c>
      <c r="E3244" t="s">
        <v>506</v>
      </c>
      <c r="F3244" t="s">
        <v>191</v>
      </c>
    </row>
    <row r="3245" spans="1:6" x14ac:dyDescent="0.2">
      <c r="A3245">
        <v>98756507</v>
      </c>
      <c r="B3245">
        <v>2015</v>
      </c>
      <c r="C3245">
        <v>37.3633879781421</v>
      </c>
      <c r="D3245" t="s">
        <v>505</v>
      </c>
      <c r="E3245" t="s">
        <v>506</v>
      </c>
      <c r="F3245" t="s">
        <v>191</v>
      </c>
    </row>
    <row r="3246" spans="1:6" x14ac:dyDescent="0.2">
      <c r="A3246">
        <v>98756507</v>
      </c>
      <c r="B3246">
        <v>2013</v>
      </c>
      <c r="C3246">
        <v>45.292207792207797</v>
      </c>
      <c r="D3246" t="s">
        <v>505</v>
      </c>
      <c r="E3246" t="s">
        <v>506</v>
      </c>
      <c r="F3246" t="s">
        <v>191</v>
      </c>
    </row>
    <row r="3247" spans="1:6" x14ac:dyDescent="0.2">
      <c r="A3247">
        <v>98756507</v>
      </c>
      <c r="B3247">
        <v>2012</v>
      </c>
      <c r="C3247">
        <v>40.493827160493801</v>
      </c>
      <c r="D3247" t="s">
        <v>505</v>
      </c>
      <c r="E3247" t="s">
        <v>506</v>
      </c>
      <c r="F3247" t="s">
        <v>191</v>
      </c>
    </row>
    <row r="3248" spans="1:6" x14ac:dyDescent="0.2">
      <c r="A3248">
        <v>98756507</v>
      </c>
      <c r="B3248">
        <v>2011</v>
      </c>
      <c r="C3248">
        <v>47.2826086956522</v>
      </c>
      <c r="D3248" t="s">
        <v>505</v>
      </c>
      <c r="E3248" t="s">
        <v>506</v>
      </c>
      <c r="F3248" t="s">
        <v>191</v>
      </c>
    </row>
    <row r="3249" spans="1:6" x14ac:dyDescent="0.2">
      <c r="A3249">
        <v>67603310</v>
      </c>
      <c r="B3249">
        <v>2020</v>
      </c>
      <c r="C3249">
        <v>13.9174944773701</v>
      </c>
      <c r="D3249" t="s">
        <v>502</v>
      </c>
      <c r="E3249"/>
      <c r="F3249" t="s">
        <v>119</v>
      </c>
    </row>
    <row r="3250" spans="1:6" x14ac:dyDescent="0.2">
      <c r="A3250">
        <v>67603310</v>
      </c>
      <c r="B3250">
        <v>2019</v>
      </c>
      <c r="C3250">
        <v>15.722074988052301</v>
      </c>
      <c r="D3250" t="s">
        <v>502</v>
      </c>
      <c r="E3250"/>
      <c r="F3250" t="s">
        <v>119</v>
      </c>
    </row>
    <row r="3251" spans="1:6" x14ac:dyDescent="0.2">
      <c r="A3251">
        <v>67603310</v>
      </c>
      <c r="B3251">
        <v>2018</v>
      </c>
      <c r="C3251">
        <v>18.4348044808936</v>
      </c>
      <c r="D3251" t="s">
        <v>502</v>
      </c>
      <c r="E3251"/>
      <c r="F3251" t="s">
        <v>119</v>
      </c>
    </row>
    <row r="3252" spans="1:6" x14ac:dyDescent="0.2">
      <c r="A3252">
        <v>67603310</v>
      </c>
      <c r="B3252">
        <v>2017</v>
      </c>
      <c r="C3252">
        <v>14.8481219226917</v>
      </c>
      <c r="D3252" t="s">
        <v>502</v>
      </c>
      <c r="E3252"/>
      <c r="F3252" t="s">
        <v>119</v>
      </c>
    </row>
    <row r="3253" spans="1:6" x14ac:dyDescent="0.2">
      <c r="A3253">
        <v>67603310</v>
      </c>
      <c r="B3253">
        <v>2016</v>
      </c>
      <c r="C3253">
        <v>16.5181820867701</v>
      </c>
      <c r="D3253" t="s">
        <v>502</v>
      </c>
      <c r="E3253"/>
      <c r="F3253" t="s">
        <v>119</v>
      </c>
    </row>
    <row r="3254" spans="1:6" x14ac:dyDescent="0.2">
      <c r="A3254">
        <v>67603310</v>
      </c>
      <c r="B3254">
        <v>2015</v>
      </c>
      <c r="C3254">
        <v>22.6931779687736</v>
      </c>
      <c r="D3254" t="s">
        <v>502</v>
      </c>
      <c r="E3254"/>
      <c r="F3254" t="s">
        <v>119</v>
      </c>
    </row>
    <row r="3255" spans="1:6" x14ac:dyDescent="0.2">
      <c r="A3255">
        <v>67603310</v>
      </c>
      <c r="B3255">
        <v>2014</v>
      </c>
      <c r="C3255">
        <v>18.001728165903899</v>
      </c>
      <c r="D3255" t="s">
        <v>502</v>
      </c>
      <c r="E3255"/>
      <c r="F3255" t="s">
        <v>119</v>
      </c>
    </row>
    <row r="3256" spans="1:6" x14ac:dyDescent="0.2">
      <c r="A3256">
        <v>67603310</v>
      </c>
      <c r="B3256">
        <v>2013</v>
      </c>
      <c r="C3256">
        <v>22.653000594177101</v>
      </c>
      <c r="D3256" t="s">
        <v>502</v>
      </c>
      <c r="E3256"/>
      <c r="F3256" t="s">
        <v>119</v>
      </c>
    </row>
    <row r="3257" spans="1:6" x14ac:dyDescent="0.2">
      <c r="A3257">
        <v>67603310</v>
      </c>
      <c r="B3257">
        <v>2012</v>
      </c>
      <c r="C3257">
        <v>24.267399267399298</v>
      </c>
      <c r="D3257" t="s">
        <v>502</v>
      </c>
      <c r="E3257"/>
      <c r="F3257" t="s">
        <v>119</v>
      </c>
    </row>
    <row r="3258" spans="1:6" x14ac:dyDescent="0.2">
      <c r="A3258">
        <v>67603310</v>
      </c>
      <c r="B3258">
        <v>2011</v>
      </c>
      <c r="C3258">
        <v>22.668727460072098</v>
      </c>
      <c r="D3258" t="s">
        <v>502</v>
      </c>
      <c r="E3258"/>
      <c r="F3258" t="s">
        <v>119</v>
      </c>
    </row>
    <row r="3259" spans="1:6" x14ac:dyDescent="0.2">
      <c r="A3259">
        <v>67603310</v>
      </c>
      <c r="B3259">
        <v>2010</v>
      </c>
      <c r="C3259">
        <v>21.016617790811299</v>
      </c>
      <c r="D3259" t="s">
        <v>502</v>
      </c>
      <c r="E3259"/>
      <c r="F3259" t="s">
        <v>119</v>
      </c>
    </row>
    <row r="3260" spans="1:6" x14ac:dyDescent="0.2">
      <c r="A3260">
        <v>92580035</v>
      </c>
      <c r="B3260">
        <v>2020</v>
      </c>
      <c r="C3260">
        <v>99.147201350321197</v>
      </c>
      <c r="D3260" t="s">
        <v>1053</v>
      </c>
      <c r="E3260" t="s">
        <v>1054</v>
      </c>
      <c r="F3260" t="s">
        <v>86</v>
      </c>
    </row>
    <row r="3261" spans="1:6" x14ac:dyDescent="0.2">
      <c r="A3261">
        <v>92580035</v>
      </c>
      <c r="B3261">
        <v>2018</v>
      </c>
      <c r="C3261">
        <v>92.710287531887701</v>
      </c>
      <c r="D3261" t="s">
        <v>1053</v>
      </c>
      <c r="E3261" t="s">
        <v>1054</v>
      </c>
      <c r="F3261" t="s">
        <v>86</v>
      </c>
    </row>
    <row r="3262" spans="1:6" x14ac:dyDescent="0.2">
      <c r="A3262">
        <v>92580035</v>
      </c>
      <c r="B3262">
        <v>2017</v>
      </c>
      <c r="C3262">
        <v>88.638766030140005</v>
      </c>
      <c r="D3262" t="s">
        <v>1053</v>
      </c>
      <c r="E3262" t="s">
        <v>1054</v>
      </c>
      <c r="F3262" t="s">
        <v>86</v>
      </c>
    </row>
    <row r="3263" spans="1:6" x14ac:dyDescent="0.2">
      <c r="A3263">
        <v>92580035</v>
      </c>
      <c r="B3263">
        <v>2016</v>
      </c>
      <c r="C3263">
        <v>83.624072842401702</v>
      </c>
      <c r="D3263" t="s">
        <v>1053</v>
      </c>
      <c r="E3263" t="s">
        <v>1054</v>
      </c>
      <c r="F3263" t="s">
        <v>86</v>
      </c>
    </row>
    <row r="3264" spans="1:6" x14ac:dyDescent="0.2">
      <c r="A3264">
        <v>92580035</v>
      </c>
      <c r="B3264">
        <v>2015</v>
      </c>
      <c r="C3264">
        <v>81.523629752646102</v>
      </c>
      <c r="D3264" t="s">
        <v>1053</v>
      </c>
      <c r="E3264" t="s">
        <v>1054</v>
      </c>
      <c r="F3264" t="s">
        <v>86</v>
      </c>
    </row>
    <row r="3265" spans="1:6" x14ac:dyDescent="0.2">
      <c r="A3265">
        <v>92580035</v>
      </c>
      <c r="B3265">
        <v>2014</v>
      </c>
      <c r="C3265">
        <v>75.957637962484</v>
      </c>
      <c r="D3265" t="s">
        <v>1053</v>
      </c>
      <c r="E3265" t="s">
        <v>1054</v>
      </c>
      <c r="F3265" t="s">
        <v>86</v>
      </c>
    </row>
    <row r="3266" spans="1:6" x14ac:dyDescent="0.2">
      <c r="A3266">
        <v>92580035</v>
      </c>
      <c r="B3266">
        <v>2013</v>
      </c>
      <c r="C3266">
        <v>72.661217075386006</v>
      </c>
      <c r="D3266" t="s">
        <v>1053</v>
      </c>
      <c r="E3266" t="s">
        <v>1054</v>
      </c>
      <c r="F3266" t="s">
        <v>86</v>
      </c>
    </row>
    <row r="3267" spans="1:6" x14ac:dyDescent="0.2">
      <c r="A3267">
        <v>52407500</v>
      </c>
      <c r="B3267">
        <v>2020</v>
      </c>
      <c r="C3267">
        <v>35.4966915845187</v>
      </c>
      <c r="D3267" t="s">
        <v>765</v>
      </c>
      <c r="E3267" t="s">
        <v>18</v>
      </c>
      <c r="F3267" t="s">
        <v>19</v>
      </c>
    </row>
    <row r="3268" spans="1:6" x14ac:dyDescent="0.2">
      <c r="A3268">
        <v>52407500</v>
      </c>
      <c r="B3268">
        <v>2019</v>
      </c>
      <c r="C3268">
        <v>33.0019098977643</v>
      </c>
      <c r="D3268" t="s">
        <v>765</v>
      </c>
      <c r="E3268" t="s">
        <v>18</v>
      </c>
      <c r="F3268" t="s">
        <v>19</v>
      </c>
    </row>
    <row r="3269" spans="1:6" x14ac:dyDescent="0.2">
      <c r="A3269">
        <v>52407500</v>
      </c>
      <c r="B3269">
        <v>2018</v>
      </c>
      <c r="C3269">
        <v>31.3476713563185</v>
      </c>
      <c r="D3269" t="s">
        <v>765</v>
      </c>
      <c r="E3269" t="s">
        <v>18</v>
      </c>
      <c r="F3269" t="s">
        <v>19</v>
      </c>
    </row>
    <row r="3270" spans="1:6" x14ac:dyDescent="0.2">
      <c r="A3270">
        <v>52407500</v>
      </c>
      <c r="B3270">
        <v>2017</v>
      </c>
      <c r="C3270">
        <v>29.816513761467899</v>
      </c>
      <c r="D3270" t="s">
        <v>765</v>
      </c>
      <c r="E3270" t="s">
        <v>18</v>
      </c>
      <c r="F3270" t="s">
        <v>19</v>
      </c>
    </row>
    <row r="3271" spans="1:6" x14ac:dyDescent="0.2">
      <c r="A3271">
        <v>52407500</v>
      </c>
      <c r="B3271">
        <v>2016</v>
      </c>
      <c r="C3271">
        <v>29.615456606285001</v>
      </c>
      <c r="D3271" t="s">
        <v>765</v>
      </c>
      <c r="E3271" t="s">
        <v>18</v>
      </c>
      <c r="F3271" t="s">
        <v>19</v>
      </c>
    </row>
    <row r="3272" spans="1:6" x14ac:dyDescent="0.2">
      <c r="A3272">
        <v>47664032</v>
      </c>
      <c r="B3272">
        <v>2020</v>
      </c>
      <c r="C3272">
        <v>17.7763299847281</v>
      </c>
      <c r="D3272" t="s">
        <v>564</v>
      </c>
      <c r="E3272" t="s">
        <v>565</v>
      </c>
      <c r="F3272" t="s">
        <v>119</v>
      </c>
    </row>
    <row r="3273" spans="1:6" x14ac:dyDescent="0.2">
      <c r="A3273">
        <v>47664032</v>
      </c>
      <c r="B3273">
        <v>2019</v>
      </c>
      <c r="C3273">
        <v>20.661057286160499</v>
      </c>
      <c r="D3273" t="s">
        <v>564</v>
      </c>
      <c r="E3273" t="s">
        <v>565</v>
      </c>
      <c r="F3273" t="s">
        <v>119</v>
      </c>
    </row>
    <row r="3274" spans="1:6" x14ac:dyDescent="0.2">
      <c r="A3274">
        <v>47664032</v>
      </c>
      <c r="B3274">
        <v>2018</v>
      </c>
      <c r="C3274">
        <v>17.9242195171371</v>
      </c>
      <c r="D3274" t="s">
        <v>564</v>
      </c>
      <c r="E3274" t="s">
        <v>565</v>
      </c>
      <c r="F3274" t="s">
        <v>119</v>
      </c>
    </row>
    <row r="3275" spans="1:6" x14ac:dyDescent="0.2">
      <c r="A3275">
        <v>47664032</v>
      </c>
      <c r="B3275">
        <v>2017</v>
      </c>
      <c r="C3275">
        <v>18.237976172966601</v>
      </c>
      <c r="D3275" t="s">
        <v>564</v>
      </c>
      <c r="E3275" t="s">
        <v>565</v>
      </c>
      <c r="F3275" t="s">
        <v>119</v>
      </c>
    </row>
    <row r="3276" spans="1:6" x14ac:dyDescent="0.2">
      <c r="A3276">
        <v>47664032</v>
      </c>
      <c r="B3276">
        <v>2016</v>
      </c>
      <c r="C3276">
        <v>23.575788015767898</v>
      </c>
      <c r="D3276" t="s">
        <v>564</v>
      </c>
      <c r="E3276" t="s">
        <v>565</v>
      </c>
      <c r="F3276" t="s">
        <v>119</v>
      </c>
    </row>
    <row r="3277" spans="1:6" x14ac:dyDescent="0.2">
      <c r="A3277">
        <v>47664032</v>
      </c>
      <c r="B3277">
        <v>2015</v>
      </c>
      <c r="C3277">
        <v>22.480543991037099</v>
      </c>
      <c r="D3277" t="s">
        <v>564</v>
      </c>
      <c r="E3277" t="s">
        <v>565</v>
      </c>
      <c r="F3277" t="s">
        <v>119</v>
      </c>
    </row>
    <row r="3278" spans="1:6" x14ac:dyDescent="0.2">
      <c r="A3278">
        <v>47664032</v>
      </c>
      <c r="B3278">
        <v>2014</v>
      </c>
      <c r="C3278">
        <v>21.7300860882645</v>
      </c>
      <c r="D3278" t="s">
        <v>564</v>
      </c>
      <c r="E3278" t="s">
        <v>565</v>
      </c>
      <c r="F3278" t="s">
        <v>119</v>
      </c>
    </row>
    <row r="3279" spans="1:6" x14ac:dyDescent="0.2">
      <c r="A3279">
        <v>47664032</v>
      </c>
      <c r="B3279">
        <v>2013</v>
      </c>
      <c r="C3279">
        <v>17.973856209150298</v>
      </c>
      <c r="D3279" t="s">
        <v>564</v>
      </c>
      <c r="E3279" t="s">
        <v>565</v>
      </c>
      <c r="F3279" t="s">
        <v>119</v>
      </c>
    </row>
    <row r="3280" spans="1:6" x14ac:dyDescent="0.2">
      <c r="A3280">
        <v>47664032</v>
      </c>
      <c r="B3280">
        <v>2012</v>
      </c>
      <c r="C3280">
        <v>41.208791208791197</v>
      </c>
      <c r="D3280" t="s">
        <v>564</v>
      </c>
      <c r="E3280" t="s">
        <v>565</v>
      </c>
      <c r="F3280" t="s">
        <v>119</v>
      </c>
    </row>
    <row r="3281" spans="1:6" x14ac:dyDescent="0.2">
      <c r="A3281">
        <v>22721412</v>
      </c>
      <c r="B3281">
        <v>2018</v>
      </c>
      <c r="C3281">
        <v>54.9387370187073</v>
      </c>
      <c r="D3281" t="s">
        <v>939</v>
      </c>
      <c r="E3281" t="s">
        <v>52</v>
      </c>
      <c r="F3281" t="s">
        <v>33</v>
      </c>
    </row>
    <row r="3282" spans="1:6" x14ac:dyDescent="0.2">
      <c r="A3282">
        <v>23077152</v>
      </c>
      <c r="B3282">
        <v>2016</v>
      </c>
      <c r="C3282">
        <v>58.728333333333303</v>
      </c>
      <c r="D3282" t="s">
        <v>880</v>
      </c>
      <c r="E3282" t="s">
        <v>650</v>
      </c>
      <c r="F3282" t="s">
        <v>1126</v>
      </c>
    </row>
    <row r="3283" spans="1:6" x14ac:dyDescent="0.2">
      <c r="A3283">
        <v>47592397</v>
      </c>
      <c r="B3283">
        <v>2020</v>
      </c>
      <c r="C3283">
        <v>7.7342622086761201</v>
      </c>
      <c r="D3283" t="s">
        <v>893</v>
      </c>
      <c r="E3283" t="s">
        <v>894</v>
      </c>
      <c r="F3283" t="s">
        <v>600</v>
      </c>
    </row>
    <row r="3284" spans="1:6" x14ac:dyDescent="0.2">
      <c r="A3284">
        <v>47592397</v>
      </c>
      <c r="B3284">
        <v>2019</v>
      </c>
      <c r="C3284">
        <v>9.5786689696699696</v>
      </c>
      <c r="D3284" t="s">
        <v>893</v>
      </c>
      <c r="E3284" t="s">
        <v>894</v>
      </c>
      <c r="F3284" t="s">
        <v>600</v>
      </c>
    </row>
    <row r="3285" spans="1:6" x14ac:dyDescent="0.2">
      <c r="A3285">
        <v>47592397</v>
      </c>
      <c r="B3285">
        <v>2018</v>
      </c>
      <c r="C3285">
        <v>9.5216546230264196</v>
      </c>
      <c r="D3285" t="s">
        <v>893</v>
      </c>
      <c r="E3285" t="s">
        <v>894</v>
      </c>
      <c r="F3285" t="s">
        <v>600</v>
      </c>
    </row>
    <row r="3286" spans="1:6" x14ac:dyDescent="0.2">
      <c r="A3286">
        <v>47592397</v>
      </c>
      <c r="B3286">
        <v>2017</v>
      </c>
      <c r="C3286">
        <v>7.3269242027938404</v>
      </c>
      <c r="D3286" t="s">
        <v>893</v>
      </c>
      <c r="E3286" t="s">
        <v>894</v>
      </c>
      <c r="F3286" t="s">
        <v>600</v>
      </c>
    </row>
    <row r="3287" spans="1:6" x14ac:dyDescent="0.2">
      <c r="A3287">
        <v>47592397</v>
      </c>
      <c r="B3287">
        <v>2016</v>
      </c>
      <c r="C3287">
        <v>8.3958826591439593</v>
      </c>
      <c r="D3287" t="s">
        <v>893</v>
      </c>
      <c r="E3287" t="s">
        <v>894</v>
      </c>
      <c r="F3287" t="s">
        <v>600</v>
      </c>
    </row>
    <row r="3288" spans="1:6" x14ac:dyDescent="0.2">
      <c r="A3288">
        <v>47592397</v>
      </c>
      <c r="B3288">
        <v>2015</v>
      </c>
      <c r="C3288">
        <v>8.7057955221300194</v>
      </c>
      <c r="D3288" t="s">
        <v>893</v>
      </c>
      <c r="E3288" t="s">
        <v>894</v>
      </c>
      <c r="F3288" t="s">
        <v>600</v>
      </c>
    </row>
    <row r="3289" spans="1:6" x14ac:dyDescent="0.2">
      <c r="A3289">
        <v>10598763</v>
      </c>
      <c r="B3289">
        <v>2016</v>
      </c>
      <c r="C3289">
        <v>5.7091459529953896</v>
      </c>
      <c r="D3289" t="s">
        <v>597</v>
      </c>
      <c r="E3289" t="s">
        <v>598</v>
      </c>
      <c r="F3289" t="s">
        <v>94</v>
      </c>
    </row>
    <row r="3290" spans="1:6" x14ac:dyDescent="0.2">
      <c r="A3290">
        <v>90729409</v>
      </c>
      <c r="B3290">
        <v>2020</v>
      </c>
      <c r="C3290">
        <v>31.788169632976999</v>
      </c>
      <c r="D3290" t="s">
        <v>50</v>
      </c>
      <c r="E3290"/>
      <c r="F3290" t="s">
        <v>50</v>
      </c>
    </row>
    <row r="3291" spans="1:6" x14ac:dyDescent="0.2">
      <c r="A3291">
        <v>90729409</v>
      </c>
      <c r="B3291">
        <v>2019</v>
      </c>
      <c r="C3291">
        <v>32.3798688905216</v>
      </c>
      <c r="D3291" t="s">
        <v>50</v>
      </c>
      <c r="E3291"/>
      <c r="F3291" t="s">
        <v>50</v>
      </c>
    </row>
    <row r="3292" spans="1:6" x14ac:dyDescent="0.2">
      <c r="A3292">
        <v>90729409</v>
      </c>
      <c r="B3292">
        <v>2018</v>
      </c>
      <c r="C3292">
        <v>31.988392555607799</v>
      </c>
      <c r="D3292" t="s">
        <v>50</v>
      </c>
      <c r="E3292"/>
      <c r="F3292" t="s">
        <v>50</v>
      </c>
    </row>
    <row r="3293" spans="1:6" x14ac:dyDescent="0.2">
      <c r="A3293">
        <v>90729409</v>
      </c>
      <c r="B3293">
        <v>2017</v>
      </c>
      <c r="C3293">
        <v>34.067283384726501</v>
      </c>
      <c r="D3293" t="s">
        <v>50</v>
      </c>
      <c r="E3293"/>
      <c r="F3293" t="s">
        <v>50</v>
      </c>
    </row>
    <row r="3294" spans="1:6" x14ac:dyDescent="0.2">
      <c r="A3294">
        <v>90729409</v>
      </c>
      <c r="B3294">
        <v>2016</v>
      </c>
      <c r="C3294">
        <v>31.6460397681298</v>
      </c>
      <c r="D3294" t="s">
        <v>50</v>
      </c>
      <c r="E3294"/>
      <c r="F3294" t="s">
        <v>50</v>
      </c>
    </row>
    <row r="3295" spans="1:6" x14ac:dyDescent="0.2">
      <c r="A3295">
        <v>90729409</v>
      </c>
      <c r="B3295">
        <v>2015</v>
      </c>
      <c r="C3295">
        <v>30.8022545301306</v>
      </c>
      <c r="D3295" t="s">
        <v>50</v>
      </c>
      <c r="E3295"/>
      <c r="F3295" t="s">
        <v>50</v>
      </c>
    </row>
    <row r="3296" spans="1:6" x14ac:dyDescent="0.2">
      <c r="A3296">
        <v>90729409</v>
      </c>
      <c r="B3296">
        <v>2014</v>
      </c>
      <c r="C3296">
        <v>31.380819737365702</v>
      </c>
      <c r="D3296" t="s">
        <v>50</v>
      </c>
      <c r="E3296"/>
      <c r="F3296" t="s">
        <v>50</v>
      </c>
    </row>
    <row r="3297" spans="1:6" x14ac:dyDescent="0.2">
      <c r="A3297">
        <v>90729409</v>
      </c>
      <c r="B3297">
        <v>2013</v>
      </c>
      <c r="C3297">
        <v>32.176527176527202</v>
      </c>
      <c r="D3297" t="s">
        <v>50</v>
      </c>
      <c r="E3297"/>
      <c r="F3297" t="s">
        <v>50</v>
      </c>
    </row>
    <row r="3298" spans="1:6" x14ac:dyDescent="0.2">
      <c r="A3298">
        <v>90729409</v>
      </c>
      <c r="B3298">
        <v>2012</v>
      </c>
      <c r="C3298">
        <v>34.500596302921899</v>
      </c>
      <c r="D3298" t="s">
        <v>50</v>
      </c>
      <c r="E3298"/>
      <c r="F3298" t="s">
        <v>50</v>
      </c>
    </row>
    <row r="3299" spans="1:6" x14ac:dyDescent="0.2">
      <c r="A3299">
        <v>90729409</v>
      </c>
      <c r="B3299">
        <v>2011</v>
      </c>
      <c r="C3299">
        <v>32.255784865541003</v>
      </c>
      <c r="D3299" t="s">
        <v>50</v>
      </c>
      <c r="E3299"/>
      <c r="F3299" t="s">
        <v>50</v>
      </c>
    </row>
    <row r="3300" spans="1:6" x14ac:dyDescent="0.2">
      <c r="A3300">
        <v>90729409</v>
      </c>
      <c r="B3300">
        <v>2010</v>
      </c>
      <c r="C3300">
        <v>30.476190476190499</v>
      </c>
      <c r="D3300" t="s">
        <v>50</v>
      </c>
      <c r="E3300"/>
      <c r="F3300" t="s">
        <v>50</v>
      </c>
    </row>
    <row r="3301" spans="1:6" x14ac:dyDescent="0.2">
      <c r="A3301">
        <v>36490580</v>
      </c>
      <c r="B3301">
        <v>2020</v>
      </c>
      <c r="C3301">
        <v>66.400000000000006</v>
      </c>
      <c r="D3301" t="s">
        <v>920</v>
      </c>
      <c r="E3301" t="s">
        <v>921</v>
      </c>
      <c r="F3301" t="s">
        <v>1126</v>
      </c>
    </row>
    <row r="3302" spans="1:6" x14ac:dyDescent="0.2">
      <c r="A3302">
        <v>36490580</v>
      </c>
      <c r="B3302">
        <v>2018</v>
      </c>
      <c r="C3302">
        <v>59</v>
      </c>
      <c r="D3302" t="s">
        <v>920</v>
      </c>
      <c r="E3302" t="s">
        <v>921</v>
      </c>
      <c r="F3302" t="s">
        <v>1126</v>
      </c>
    </row>
    <row r="3303" spans="1:6" x14ac:dyDescent="0.2">
      <c r="A3303">
        <v>36490580</v>
      </c>
      <c r="B3303">
        <v>2016</v>
      </c>
      <c r="C3303">
        <v>51.6</v>
      </c>
      <c r="D3303" t="s">
        <v>920</v>
      </c>
      <c r="E3303" t="s">
        <v>921</v>
      </c>
      <c r="F3303" t="s">
        <v>1126</v>
      </c>
    </row>
    <row r="3304" spans="1:6" x14ac:dyDescent="0.2">
      <c r="A3304">
        <v>26533006</v>
      </c>
      <c r="B3304">
        <v>2020</v>
      </c>
      <c r="C3304">
        <v>20.380344087952199</v>
      </c>
      <c r="D3304" t="s">
        <v>56</v>
      </c>
      <c r="E3304" t="s">
        <v>57</v>
      </c>
      <c r="F3304" t="s">
        <v>58</v>
      </c>
    </row>
    <row r="3305" spans="1:6" x14ac:dyDescent="0.2">
      <c r="A3305">
        <v>26533006</v>
      </c>
      <c r="B3305">
        <v>2019</v>
      </c>
      <c r="C3305">
        <v>16.473654028643601</v>
      </c>
      <c r="D3305" t="s">
        <v>56</v>
      </c>
      <c r="E3305" t="s">
        <v>57</v>
      </c>
      <c r="F3305" t="s">
        <v>58</v>
      </c>
    </row>
    <row r="3306" spans="1:6" x14ac:dyDescent="0.2">
      <c r="A3306">
        <v>26533006</v>
      </c>
      <c r="B3306">
        <v>2018</v>
      </c>
      <c r="C3306">
        <v>19.817501278476598</v>
      </c>
      <c r="D3306" t="s">
        <v>56</v>
      </c>
      <c r="E3306" t="s">
        <v>57</v>
      </c>
      <c r="F3306" t="s">
        <v>58</v>
      </c>
    </row>
    <row r="3307" spans="1:6" x14ac:dyDescent="0.2">
      <c r="A3307">
        <v>26533006</v>
      </c>
      <c r="B3307">
        <v>2017</v>
      </c>
      <c r="C3307">
        <v>16.6031133786888</v>
      </c>
      <c r="D3307" t="s">
        <v>56</v>
      </c>
      <c r="E3307" t="s">
        <v>57</v>
      </c>
      <c r="F3307" t="s">
        <v>58</v>
      </c>
    </row>
    <row r="3308" spans="1:6" x14ac:dyDescent="0.2">
      <c r="A3308">
        <v>26533006</v>
      </c>
      <c r="B3308">
        <v>2016</v>
      </c>
      <c r="C3308">
        <v>13.5338379862305</v>
      </c>
      <c r="D3308" t="s">
        <v>56</v>
      </c>
      <c r="E3308" t="s">
        <v>57</v>
      </c>
      <c r="F3308" t="s">
        <v>58</v>
      </c>
    </row>
    <row r="3309" spans="1:6" x14ac:dyDescent="0.2">
      <c r="A3309">
        <v>26533006</v>
      </c>
      <c r="B3309">
        <v>2015</v>
      </c>
      <c r="C3309">
        <v>11.855502267872501</v>
      </c>
      <c r="D3309" t="s">
        <v>56</v>
      </c>
      <c r="E3309" t="s">
        <v>57</v>
      </c>
      <c r="F3309" t="s">
        <v>58</v>
      </c>
    </row>
    <row r="3310" spans="1:6" x14ac:dyDescent="0.2">
      <c r="A3310">
        <v>26533006</v>
      </c>
      <c r="B3310">
        <v>2014</v>
      </c>
      <c r="C3310">
        <v>15.5438983986748</v>
      </c>
      <c r="D3310" t="s">
        <v>56</v>
      </c>
      <c r="E3310" t="s">
        <v>57</v>
      </c>
      <c r="F3310" t="s">
        <v>58</v>
      </c>
    </row>
    <row r="3311" spans="1:6" x14ac:dyDescent="0.2">
      <c r="A3311">
        <v>26533006</v>
      </c>
      <c r="B3311">
        <v>2013</v>
      </c>
      <c r="C3311">
        <v>15.3053228707948</v>
      </c>
      <c r="D3311" t="s">
        <v>56</v>
      </c>
      <c r="E3311" t="s">
        <v>57</v>
      </c>
      <c r="F3311" t="s">
        <v>58</v>
      </c>
    </row>
    <row r="3312" spans="1:6" x14ac:dyDescent="0.2">
      <c r="A3312">
        <v>26533006</v>
      </c>
      <c r="B3312">
        <v>2012</v>
      </c>
      <c r="C3312">
        <v>14.032781220942599</v>
      </c>
      <c r="D3312" t="s">
        <v>56</v>
      </c>
      <c r="E3312" t="s">
        <v>57</v>
      </c>
      <c r="F3312" t="s">
        <v>58</v>
      </c>
    </row>
    <row r="3313" spans="1:6" x14ac:dyDescent="0.2">
      <c r="A3313">
        <v>26533006</v>
      </c>
      <c r="B3313">
        <v>2011</v>
      </c>
      <c r="C3313">
        <v>10.144927536231901</v>
      </c>
      <c r="D3313" t="s">
        <v>56</v>
      </c>
      <c r="E3313" t="s">
        <v>57</v>
      </c>
      <c r="F3313" t="s">
        <v>58</v>
      </c>
    </row>
    <row r="3314" spans="1:6" x14ac:dyDescent="0.2">
      <c r="A3314">
        <v>28425969</v>
      </c>
      <c r="B3314">
        <v>2019</v>
      </c>
      <c r="C3314">
        <v>7.5091586280487199</v>
      </c>
      <c r="D3314" t="s">
        <v>732</v>
      </c>
      <c r="E3314" t="s">
        <v>390</v>
      </c>
      <c r="F3314" t="s">
        <v>94</v>
      </c>
    </row>
    <row r="3315" spans="1:6" x14ac:dyDescent="0.2">
      <c r="A3315">
        <v>96974555</v>
      </c>
      <c r="B3315">
        <v>2020</v>
      </c>
      <c r="C3315">
        <v>12.0206949414489</v>
      </c>
      <c r="D3315" t="s">
        <v>69</v>
      </c>
      <c r="E3315" t="s">
        <v>70</v>
      </c>
      <c r="F3315" t="s">
        <v>68</v>
      </c>
    </row>
    <row r="3316" spans="1:6" x14ac:dyDescent="0.2">
      <c r="A3316">
        <v>96974555</v>
      </c>
      <c r="B3316">
        <v>2019</v>
      </c>
      <c r="C3316">
        <v>11.826607910442799</v>
      </c>
      <c r="D3316" t="s">
        <v>69</v>
      </c>
      <c r="E3316" t="s">
        <v>70</v>
      </c>
      <c r="F3316" t="s">
        <v>68</v>
      </c>
    </row>
    <row r="3317" spans="1:6" x14ac:dyDescent="0.2">
      <c r="A3317">
        <v>96974555</v>
      </c>
      <c r="B3317">
        <v>2018</v>
      </c>
      <c r="C3317">
        <v>12.186099556816201</v>
      </c>
      <c r="D3317" t="s">
        <v>69</v>
      </c>
      <c r="E3317" t="s">
        <v>70</v>
      </c>
      <c r="F3317" t="s">
        <v>68</v>
      </c>
    </row>
    <row r="3318" spans="1:6" x14ac:dyDescent="0.2">
      <c r="A3318">
        <v>96974555</v>
      </c>
      <c r="B3318">
        <v>2017</v>
      </c>
      <c r="C3318">
        <v>9.5292663087596292</v>
      </c>
      <c r="D3318" t="s">
        <v>69</v>
      </c>
      <c r="E3318" t="s">
        <v>70</v>
      </c>
      <c r="F3318" t="s">
        <v>68</v>
      </c>
    </row>
    <row r="3319" spans="1:6" x14ac:dyDescent="0.2">
      <c r="A3319">
        <v>96974555</v>
      </c>
      <c r="B3319">
        <v>2016</v>
      </c>
      <c r="C3319">
        <v>8.74337860201571</v>
      </c>
      <c r="D3319" t="s">
        <v>69</v>
      </c>
      <c r="E3319" t="s">
        <v>70</v>
      </c>
      <c r="F3319" t="s">
        <v>68</v>
      </c>
    </row>
    <row r="3320" spans="1:6" x14ac:dyDescent="0.2">
      <c r="A3320">
        <v>96974555</v>
      </c>
      <c r="B3320">
        <v>2015</v>
      </c>
      <c r="C3320">
        <v>7.9445779093804099</v>
      </c>
      <c r="D3320" t="s">
        <v>69</v>
      </c>
      <c r="E3320" t="s">
        <v>70</v>
      </c>
      <c r="F3320" t="s">
        <v>68</v>
      </c>
    </row>
    <row r="3321" spans="1:6" x14ac:dyDescent="0.2">
      <c r="A3321">
        <v>96974555</v>
      </c>
      <c r="B3321">
        <v>2014</v>
      </c>
      <c r="C3321">
        <v>10.2594207529185</v>
      </c>
      <c r="D3321" t="s">
        <v>69</v>
      </c>
      <c r="E3321" t="s">
        <v>70</v>
      </c>
      <c r="F3321" t="s">
        <v>68</v>
      </c>
    </row>
    <row r="3322" spans="1:6" x14ac:dyDescent="0.2">
      <c r="A3322">
        <v>96974555</v>
      </c>
      <c r="B3322">
        <v>2013</v>
      </c>
      <c r="C3322">
        <v>11.1745098039216</v>
      </c>
      <c r="D3322" t="s">
        <v>69</v>
      </c>
      <c r="E3322" t="s">
        <v>70</v>
      </c>
      <c r="F3322" t="s">
        <v>68</v>
      </c>
    </row>
    <row r="3323" spans="1:6" x14ac:dyDescent="0.2">
      <c r="A3323">
        <v>96974555</v>
      </c>
      <c r="B3323">
        <v>2012</v>
      </c>
      <c r="C3323">
        <v>10.729355033152499</v>
      </c>
      <c r="D3323" t="s">
        <v>69</v>
      </c>
      <c r="E3323" t="s">
        <v>70</v>
      </c>
      <c r="F3323" t="s">
        <v>68</v>
      </c>
    </row>
    <row r="3324" spans="1:6" x14ac:dyDescent="0.2">
      <c r="A3324">
        <v>96974555</v>
      </c>
      <c r="B3324">
        <v>2011</v>
      </c>
      <c r="C3324">
        <v>14.5460358056266</v>
      </c>
      <c r="D3324" t="s">
        <v>69</v>
      </c>
      <c r="E3324" t="s">
        <v>70</v>
      </c>
      <c r="F3324" t="s">
        <v>68</v>
      </c>
    </row>
    <row r="3325" spans="1:6" x14ac:dyDescent="0.2">
      <c r="A3325">
        <v>96974555</v>
      </c>
      <c r="B3325">
        <v>2010</v>
      </c>
      <c r="C3325">
        <v>11.320754716981099</v>
      </c>
      <c r="D3325" t="s">
        <v>69</v>
      </c>
      <c r="E3325" t="s">
        <v>70</v>
      </c>
      <c r="F3325" t="s">
        <v>68</v>
      </c>
    </row>
    <row r="3326" spans="1:6" x14ac:dyDescent="0.2">
      <c r="A3326">
        <v>45841835</v>
      </c>
      <c r="B3326">
        <v>2019</v>
      </c>
      <c r="C3326">
        <v>36.442534546680101</v>
      </c>
      <c r="D3326" t="s">
        <v>868</v>
      </c>
      <c r="E3326" t="s">
        <v>18</v>
      </c>
      <c r="F3326" t="s">
        <v>19</v>
      </c>
    </row>
    <row r="3327" spans="1:6" x14ac:dyDescent="0.2">
      <c r="A3327">
        <v>45841835</v>
      </c>
      <c r="B3327">
        <v>2018</v>
      </c>
      <c r="C3327">
        <v>37.725113957828</v>
      </c>
      <c r="D3327" t="s">
        <v>868</v>
      </c>
      <c r="E3327" t="s">
        <v>18</v>
      </c>
      <c r="F3327" t="s">
        <v>19</v>
      </c>
    </row>
    <row r="3328" spans="1:6" x14ac:dyDescent="0.2">
      <c r="A3328">
        <v>45841835</v>
      </c>
      <c r="B3328">
        <v>2016</v>
      </c>
      <c r="C3328">
        <v>28.558256902994099</v>
      </c>
      <c r="D3328" t="s">
        <v>868</v>
      </c>
      <c r="E3328" t="s">
        <v>18</v>
      </c>
      <c r="F3328" t="s">
        <v>19</v>
      </c>
    </row>
    <row r="3329" spans="1:6" x14ac:dyDescent="0.2">
      <c r="A3329">
        <v>79383924</v>
      </c>
      <c r="B3329">
        <v>2020</v>
      </c>
      <c r="C3329">
        <v>28.851807534107401</v>
      </c>
      <c r="D3329" t="s">
        <v>211</v>
      </c>
      <c r="E3329" t="s">
        <v>212</v>
      </c>
      <c r="F3329" t="s">
        <v>172</v>
      </c>
    </row>
    <row r="3330" spans="1:6" x14ac:dyDescent="0.2">
      <c r="A3330">
        <v>79383924</v>
      </c>
      <c r="B3330">
        <v>2019</v>
      </c>
      <c r="C3330">
        <v>24.972695516649001</v>
      </c>
      <c r="D3330" t="s">
        <v>211</v>
      </c>
      <c r="E3330" t="s">
        <v>212</v>
      </c>
      <c r="F3330" t="s">
        <v>172</v>
      </c>
    </row>
    <row r="3331" spans="1:6" x14ac:dyDescent="0.2">
      <c r="A3331">
        <v>79383924</v>
      </c>
      <c r="B3331">
        <v>2018</v>
      </c>
      <c r="C3331">
        <v>27.413515478652101</v>
      </c>
      <c r="D3331" t="s">
        <v>211</v>
      </c>
      <c r="E3331" t="s">
        <v>212</v>
      </c>
      <c r="F3331" t="s">
        <v>172</v>
      </c>
    </row>
    <row r="3332" spans="1:6" x14ac:dyDescent="0.2">
      <c r="A3332">
        <v>79383924</v>
      </c>
      <c r="B3332">
        <v>2017</v>
      </c>
      <c r="C3332">
        <v>28.706018790959899</v>
      </c>
      <c r="D3332" t="s">
        <v>211</v>
      </c>
      <c r="E3332" t="s">
        <v>212</v>
      </c>
      <c r="F3332" t="s">
        <v>172</v>
      </c>
    </row>
    <row r="3333" spans="1:6" x14ac:dyDescent="0.2">
      <c r="A3333">
        <v>79383924</v>
      </c>
      <c r="B3333">
        <v>2016</v>
      </c>
      <c r="C3333">
        <v>25.7331926817821</v>
      </c>
      <c r="D3333" t="s">
        <v>211</v>
      </c>
      <c r="E3333" t="s">
        <v>212</v>
      </c>
      <c r="F3333" t="s">
        <v>172</v>
      </c>
    </row>
    <row r="3334" spans="1:6" x14ac:dyDescent="0.2">
      <c r="A3334">
        <v>79383924</v>
      </c>
      <c r="B3334">
        <v>2015</v>
      </c>
      <c r="C3334">
        <v>20.977529873578501</v>
      </c>
      <c r="D3334" t="s">
        <v>211</v>
      </c>
      <c r="E3334" t="s">
        <v>212</v>
      </c>
      <c r="F3334" t="s">
        <v>172</v>
      </c>
    </row>
    <row r="3335" spans="1:6" x14ac:dyDescent="0.2">
      <c r="A3335">
        <v>79383924</v>
      </c>
      <c r="B3335">
        <v>2013</v>
      </c>
      <c r="C3335">
        <v>22.145328719723199</v>
      </c>
      <c r="D3335" t="s">
        <v>211</v>
      </c>
      <c r="E3335" t="s">
        <v>212</v>
      </c>
      <c r="F3335" t="s">
        <v>172</v>
      </c>
    </row>
    <row r="3336" spans="1:6" x14ac:dyDescent="0.2">
      <c r="A3336">
        <v>79383924</v>
      </c>
      <c r="B3336">
        <v>2012</v>
      </c>
      <c r="C3336">
        <v>25.276502732240399</v>
      </c>
      <c r="D3336" t="s">
        <v>211</v>
      </c>
      <c r="E3336" t="s">
        <v>212</v>
      </c>
      <c r="F3336" t="s">
        <v>172</v>
      </c>
    </row>
    <row r="3337" spans="1:6" x14ac:dyDescent="0.2">
      <c r="A3337">
        <v>54288361</v>
      </c>
      <c r="B3337">
        <v>2020</v>
      </c>
      <c r="C3337">
        <v>59.8675</v>
      </c>
      <c r="D3337" t="s">
        <v>1010</v>
      </c>
      <c r="E3337" t="s">
        <v>445</v>
      </c>
      <c r="F3337" t="s">
        <v>1126</v>
      </c>
    </row>
    <row r="3338" spans="1:6" x14ac:dyDescent="0.2">
      <c r="A3338">
        <v>54288361</v>
      </c>
      <c r="B3338">
        <v>2019</v>
      </c>
      <c r="C3338">
        <v>63.6</v>
      </c>
      <c r="D3338" t="s">
        <v>1010</v>
      </c>
      <c r="E3338" t="s">
        <v>445</v>
      </c>
      <c r="F3338" t="s">
        <v>1126</v>
      </c>
    </row>
    <row r="3339" spans="1:6" x14ac:dyDescent="0.2">
      <c r="A3339">
        <v>54288361</v>
      </c>
      <c r="B3339">
        <v>2018</v>
      </c>
      <c r="C3339">
        <v>66.8</v>
      </c>
      <c r="D3339" t="s">
        <v>1010</v>
      </c>
      <c r="E3339" t="s">
        <v>445</v>
      </c>
      <c r="F3339" t="s">
        <v>1126</v>
      </c>
    </row>
    <row r="3340" spans="1:6" x14ac:dyDescent="0.2">
      <c r="A3340">
        <v>54288361</v>
      </c>
      <c r="B3340">
        <v>2017</v>
      </c>
      <c r="C3340">
        <v>63.3333333333333</v>
      </c>
      <c r="D3340" t="s">
        <v>1010</v>
      </c>
      <c r="E3340" t="s">
        <v>445</v>
      </c>
      <c r="F3340" t="s">
        <v>1126</v>
      </c>
    </row>
    <row r="3341" spans="1:6" x14ac:dyDescent="0.2">
      <c r="A3341">
        <v>54288361</v>
      </c>
      <c r="B3341">
        <v>2016</v>
      </c>
      <c r="C3341">
        <v>56.1111111111111</v>
      </c>
      <c r="D3341" t="s">
        <v>1010</v>
      </c>
      <c r="E3341" t="s">
        <v>445</v>
      </c>
      <c r="F3341" t="s">
        <v>1126</v>
      </c>
    </row>
    <row r="3342" spans="1:6" x14ac:dyDescent="0.2">
      <c r="A3342">
        <v>54288361</v>
      </c>
      <c r="B3342">
        <v>2015</v>
      </c>
      <c r="C3342">
        <v>48.748750000000001</v>
      </c>
      <c r="D3342" t="s">
        <v>1010</v>
      </c>
      <c r="E3342" t="s">
        <v>445</v>
      </c>
      <c r="F3342" t="s">
        <v>1126</v>
      </c>
    </row>
    <row r="3343" spans="1:6" x14ac:dyDescent="0.2">
      <c r="A3343">
        <v>95846805</v>
      </c>
      <c r="B3343">
        <v>2018</v>
      </c>
      <c r="C3343">
        <v>71.857142857142904</v>
      </c>
      <c r="D3343" t="s">
        <v>653</v>
      </c>
      <c r="E3343" t="s">
        <v>150</v>
      </c>
      <c r="F3343" t="s">
        <v>1126</v>
      </c>
    </row>
    <row r="3344" spans="1:6" x14ac:dyDescent="0.2">
      <c r="A3344">
        <v>40928658</v>
      </c>
      <c r="B3344">
        <v>2017</v>
      </c>
      <c r="C3344">
        <v>50.798000000000002</v>
      </c>
      <c r="D3344" t="s">
        <v>653</v>
      </c>
      <c r="E3344" t="s">
        <v>758</v>
      </c>
      <c r="F3344" t="s">
        <v>1126</v>
      </c>
    </row>
    <row r="3345" spans="1:6" x14ac:dyDescent="0.2">
      <c r="A3345">
        <v>40928658</v>
      </c>
      <c r="B3345">
        <v>2016</v>
      </c>
      <c r="C3345">
        <v>55</v>
      </c>
      <c r="D3345" t="s">
        <v>653</v>
      </c>
      <c r="E3345" t="s">
        <v>758</v>
      </c>
      <c r="F3345" t="s">
        <v>1126</v>
      </c>
    </row>
    <row r="3346" spans="1:6" x14ac:dyDescent="0.2">
      <c r="A3346">
        <v>40928658</v>
      </c>
      <c r="B3346">
        <v>2015</v>
      </c>
      <c r="C3346">
        <v>42.79</v>
      </c>
      <c r="D3346" t="s">
        <v>653</v>
      </c>
      <c r="E3346" t="s">
        <v>758</v>
      </c>
      <c r="F3346" t="s">
        <v>1126</v>
      </c>
    </row>
    <row r="3347" spans="1:6" x14ac:dyDescent="0.2">
      <c r="A3347">
        <v>66825701</v>
      </c>
      <c r="B3347">
        <v>2018</v>
      </c>
      <c r="C3347">
        <v>67.3601194357758</v>
      </c>
      <c r="D3347" t="s">
        <v>290</v>
      </c>
      <c r="E3347" t="s">
        <v>291</v>
      </c>
      <c r="F3347" t="s">
        <v>33</v>
      </c>
    </row>
    <row r="3348" spans="1:6" x14ac:dyDescent="0.2">
      <c r="A3348">
        <v>66825701</v>
      </c>
      <c r="B3348">
        <v>2015</v>
      </c>
      <c r="C3348">
        <v>49.178890306122497</v>
      </c>
      <c r="D3348" t="s">
        <v>290</v>
      </c>
      <c r="E3348" t="s">
        <v>291</v>
      </c>
      <c r="F3348" t="s">
        <v>33</v>
      </c>
    </row>
    <row r="3349" spans="1:6" x14ac:dyDescent="0.2">
      <c r="A3349">
        <v>18124940</v>
      </c>
      <c r="B3349">
        <v>2018</v>
      </c>
      <c r="C3349">
        <v>63</v>
      </c>
      <c r="D3349" t="s">
        <v>813</v>
      </c>
      <c r="E3349" t="s">
        <v>667</v>
      </c>
      <c r="F3349" t="s">
        <v>1126</v>
      </c>
    </row>
    <row r="3350" spans="1:6" x14ac:dyDescent="0.2">
      <c r="A3350">
        <v>19039640</v>
      </c>
      <c r="B3350">
        <v>2019</v>
      </c>
      <c r="C3350">
        <v>53.507377165449803</v>
      </c>
      <c r="D3350" t="s">
        <v>1113</v>
      </c>
      <c r="E3350" t="s">
        <v>1114</v>
      </c>
      <c r="F3350" t="s">
        <v>78</v>
      </c>
    </row>
    <row r="3351" spans="1:6" x14ac:dyDescent="0.2">
      <c r="A3351">
        <v>19039640</v>
      </c>
      <c r="B3351">
        <v>2018</v>
      </c>
      <c r="C3351">
        <v>63.479377696923699</v>
      </c>
      <c r="D3351" t="s">
        <v>1113</v>
      </c>
      <c r="E3351" t="s">
        <v>1114</v>
      </c>
      <c r="F3351" t="s">
        <v>78</v>
      </c>
    </row>
    <row r="3352" spans="1:6" x14ac:dyDescent="0.2">
      <c r="A3352">
        <v>19039640</v>
      </c>
      <c r="B3352">
        <v>2017</v>
      </c>
      <c r="C3352">
        <v>53.660316078089899</v>
      </c>
      <c r="D3352" t="s">
        <v>1113</v>
      </c>
      <c r="E3352" t="s">
        <v>1114</v>
      </c>
      <c r="F3352" t="s">
        <v>78</v>
      </c>
    </row>
    <row r="3353" spans="1:6" x14ac:dyDescent="0.2">
      <c r="A3353">
        <v>19039640</v>
      </c>
      <c r="B3353">
        <v>2016</v>
      </c>
      <c r="C3353">
        <v>43.172196514718898</v>
      </c>
      <c r="D3353" t="s">
        <v>1113</v>
      </c>
      <c r="E3353" t="s">
        <v>1114</v>
      </c>
      <c r="F3353" t="s">
        <v>78</v>
      </c>
    </row>
    <row r="3354" spans="1:6" x14ac:dyDescent="0.2">
      <c r="A3354">
        <v>19039640</v>
      </c>
      <c r="B3354">
        <v>2015</v>
      </c>
      <c r="C3354">
        <v>46.5100189939496</v>
      </c>
      <c r="D3354" t="s">
        <v>1113</v>
      </c>
      <c r="E3354" t="s">
        <v>1114</v>
      </c>
      <c r="F3354" t="s">
        <v>78</v>
      </c>
    </row>
    <row r="3355" spans="1:6" x14ac:dyDescent="0.2">
      <c r="A3355">
        <v>19039640</v>
      </c>
      <c r="B3355">
        <v>2014</v>
      </c>
      <c r="C3355">
        <v>54.691167674302797</v>
      </c>
      <c r="D3355" t="s">
        <v>1113</v>
      </c>
      <c r="E3355" t="s">
        <v>1114</v>
      </c>
      <c r="F3355" t="s">
        <v>78</v>
      </c>
    </row>
    <row r="3356" spans="1:6" x14ac:dyDescent="0.2">
      <c r="A3356">
        <v>19039640</v>
      </c>
      <c r="B3356">
        <v>2012</v>
      </c>
      <c r="C3356">
        <v>73.567921440261898</v>
      </c>
      <c r="D3356" t="s">
        <v>1113</v>
      </c>
      <c r="E3356" t="s">
        <v>1114</v>
      </c>
      <c r="F3356" t="s">
        <v>78</v>
      </c>
    </row>
    <row r="3357" spans="1:6" x14ac:dyDescent="0.2">
      <c r="A3357">
        <v>19039640</v>
      </c>
      <c r="B3357">
        <v>2011</v>
      </c>
      <c r="C3357">
        <v>54.582555970149301</v>
      </c>
      <c r="D3357" t="s">
        <v>1113</v>
      </c>
      <c r="E3357" t="s">
        <v>1114</v>
      </c>
      <c r="F3357" t="s">
        <v>78</v>
      </c>
    </row>
    <row r="3358" spans="1:6" x14ac:dyDescent="0.2">
      <c r="A3358">
        <v>18692523</v>
      </c>
      <c r="B3358">
        <v>2020</v>
      </c>
      <c r="C3358">
        <v>28.354115239477402</v>
      </c>
      <c r="D3358" t="s">
        <v>225</v>
      </c>
      <c r="E3358" t="s">
        <v>226</v>
      </c>
      <c r="F3358" t="s">
        <v>227</v>
      </c>
    </row>
    <row r="3359" spans="1:6" x14ac:dyDescent="0.2">
      <c r="A3359">
        <v>18692523</v>
      </c>
      <c r="B3359">
        <v>2019</v>
      </c>
      <c r="C3359">
        <v>31.739346259721099</v>
      </c>
      <c r="D3359" t="s">
        <v>225</v>
      </c>
      <c r="E3359" t="s">
        <v>226</v>
      </c>
      <c r="F3359" t="s">
        <v>227</v>
      </c>
    </row>
    <row r="3360" spans="1:6" x14ac:dyDescent="0.2">
      <c r="A3360">
        <v>18692523</v>
      </c>
      <c r="B3360">
        <v>2018</v>
      </c>
      <c r="C3360">
        <v>32.200192419514003</v>
      </c>
      <c r="D3360" t="s">
        <v>225</v>
      </c>
      <c r="E3360" t="s">
        <v>226</v>
      </c>
      <c r="F3360" t="s">
        <v>227</v>
      </c>
    </row>
    <row r="3361" spans="1:6" x14ac:dyDescent="0.2">
      <c r="A3361">
        <v>18692523</v>
      </c>
      <c r="B3361">
        <v>2017</v>
      </c>
      <c r="C3361">
        <v>34.275698328473297</v>
      </c>
      <c r="D3361" t="s">
        <v>225</v>
      </c>
      <c r="E3361" t="s">
        <v>226</v>
      </c>
      <c r="F3361" t="s">
        <v>227</v>
      </c>
    </row>
    <row r="3362" spans="1:6" x14ac:dyDescent="0.2">
      <c r="A3362">
        <v>18692523</v>
      </c>
      <c r="B3362">
        <v>2016</v>
      </c>
      <c r="C3362">
        <v>29.192029290344401</v>
      </c>
      <c r="D3362" t="s">
        <v>225</v>
      </c>
      <c r="E3362" t="s">
        <v>226</v>
      </c>
      <c r="F3362" t="s">
        <v>227</v>
      </c>
    </row>
    <row r="3363" spans="1:6" x14ac:dyDescent="0.2">
      <c r="A3363">
        <v>18692523</v>
      </c>
      <c r="B3363">
        <v>2015</v>
      </c>
      <c r="C3363">
        <v>28.713413830231399</v>
      </c>
      <c r="D3363" t="s">
        <v>225</v>
      </c>
      <c r="E3363" t="s">
        <v>226</v>
      </c>
      <c r="F3363" t="s">
        <v>227</v>
      </c>
    </row>
    <row r="3364" spans="1:6" x14ac:dyDescent="0.2">
      <c r="A3364">
        <v>18692523</v>
      </c>
      <c r="B3364">
        <v>2014</v>
      </c>
      <c r="C3364">
        <v>38.084847760242297</v>
      </c>
      <c r="D3364" t="s">
        <v>225</v>
      </c>
      <c r="E3364" t="s">
        <v>226</v>
      </c>
      <c r="F3364" t="s">
        <v>227</v>
      </c>
    </row>
    <row r="3365" spans="1:6" x14ac:dyDescent="0.2">
      <c r="A3365">
        <v>18692523</v>
      </c>
      <c r="B3365">
        <v>2013</v>
      </c>
      <c r="C3365">
        <v>31.101040617656899</v>
      </c>
      <c r="D3365" t="s">
        <v>225</v>
      </c>
      <c r="E3365" t="s">
        <v>226</v>
      </c>
      <c r="F3365" t="s">
        <v>227</v>
      </c>
    </row>
    <row r="3366" spans="1:6" x14ac:dyDescent="0.2">
      <c r="A3366">
        <v>18692523</v>
      </c>
      <c r="B3366">
        <v>2012</v>
      </c>
      <c r="C3366">
        <v>27.5103163686382</v>
      </c>
      <c r="D3366" t="s">
        <v>225</v>
      </c>
      <c r="E3366" t="s">
        <v>226</v>
      </c>
      <c r="F3366" t="s">
        <v>227</v>
      </c>
    </row>
    <row r="3367" spans="1:6" x14ac:dyDescent="0.2">
      <c r="A3367">
        <v>18692523</v>
      </c>
      <c r="B3367">
        <v>2011</v>
      </c>
      <c r="C3367">
        <v>36.504065040650403</v>
      </c>
      <c r="D3367" t="s">
        <v>225</v>
      </c>
      <c r="E3367" t="s">
        <v>226</v>
      </c>
      <c r="F3367" t="s">
        <v>227</v>
      </c>
    </row>
    <row r="3368" spans="1:6" x14ac:dyDescent="0.2">
      <c r="A3368">
        <v>18692523</v>
      </c>
      <c r="B3368">
        <v>2010</v>
      </c>
      <c r="C3368">
        <v>27.6641091219096</v>
      </c>
      <c r="D3368" t="s">
        <v>225</v>
      </c>
      <c r="E3368" t="s">
        <v>226</v>
      </c>
      <c r="F3368" t="s">
        <v>227</v>
      </c>
    </row>
    <row r="3369" spans="1:6" x14ac:dyDescent="0.2">
      <c r="A3369">
        <v>97906159</v>
      </c>
      <c r="B3369">
        <v>2020</v>
      </c>
      <c r="C3369">
        <v>36.741210500415299</v>
      </c>
      <c r="D3369" t="s">
        <v>484</v>
      </c>
      <c r="E3369"/>
      <c r="F3369" t="s">
        <v>28</v>
      </c>
    </row>
    <row r="3370" spans="1:6" x14ac:dyDescent="0.2">
      <c r="A3370">
        <v>97906159</v>
      </c>
      <c r="B3370">
        <v>2018</v>
      </c>
      <c r="C3370">
        <v>30.596753474249699</v>
      </c>
      <c r="D3370" t="s">
        <v>484</v>
      </c>
      <c r="E3370"/>
      <c r="F3370" t="s">
        <v>28</v>
      </c>
    </row>
    <row r="3371" spans="1:6" x14ac:dyDescent="0.2">
      <c r="A3371">
        <v>97906159</v>
      </c>
      <c r="B3371">
        <v>2016</v>
      </c>
      <c r="C3371">
        <v>28.361145797858299</v>
      </c>
      <c r="D3371" t="s">
        <v>484</v>
      </c>
      <c r="E3371"/>
      <c r="F3371" t="s">
        <v>28</v>
      </c>
    </row>
    <row r="3372" spans="1:6" x14ac:dyDescent="0.2">
      <c r="A3372">
        <v>37454907</v>
      </c>
      <c r="B3372">
        <v>2020</v>
      </c>
      <c r="C3372">
        <v>32.801593523680801</v>
      </c>
      <c r="D3372" t="s">
        <v>131</v>
      </c>
      <c r="E3372" t="s">
        <v>132</v>
      </c>
      <c r="F3372" t="s">
        <v>7</v>
      </c>
    </row>
    <row r="3373" spans="1:6" x14ac:dyDescent="0.2">
      <c r="A3373">
        <v>37454907</v>
      </c>
      <c r="B3373">
        <v>2019</v>
      </c>
      <c r="C3373">
        <v>31.970578029505901</v>
      </c>
      <c r="D3373" t="s">
        <v>131</v>
      </c>
      <c r="E3373" t="s">
        <v>132</v>
      </c>
      <c r="F3373" t="s">
        <v>7</v>
      </c>
    </row>
    <row r="3374" spans="1:6" x14ac:dyDescent="0.2">
      <c r="A3374">
        <v>37454907</v>
      </c>
      <c r="B3374">
        <v>2018</v>
      </c>
      <c r="C3374">
        <v>33.009459301646601</v>
      </c>
      <c r="D3374" t="s">
        <v>131</v>
      </c>
      <c r="E3374" t="s">
        <v>132</v>
      </c>
      <c r="F3374" t="s">
        <v>7</v>
      </c>
    </row>
    <row r="3375" spans="1:6" x14ac:dyDescent="0.2">
      <c r="A3375">
        <v>37454907</v>
      </c>
      <c r="B3375">
        <v>2017</v>
      </c>
      <c r="C3375">
        <v>27.540677713091501</v>
      </c>
      <c r="D3375" t="s">
        <v>131</v>
      </c>
      <c r="E3375" t="s">
        <v>132</v>
      </c>
      <c r="F3375" t="s">
        <v>7</v>
      </c>
    </row>
    <row r="3376" spans="1:6" x14ac:dyDescent="0.2">
      <c r="A3376">
        <v>37454907</v>
      </c>
      <c r="B3376">
        <v>2016</v>
      </c>
      <c r="C3376">
        <v>32.239754796231097</v>
      </c>
      <c r="D3376" t="s">
        <v>131</v>
      </c>
      <c r="E3376" t="s">
        <v>132</v>
      </c>
      <c r="F3376" t="s">
        <v>7</v>
      </c>
    </row>
    <row r="3377" spans="1:6" x14ac:dyDescent="0.2">
      <c r="A3377">
        <v>37454907</v>
      </c>
      <c r="B3377">
        <v>2015</v>
      </c>
      <c r="C3377">
        <v>27.806921675774099</v>
      </c>
      <c r="D3377" t="s">
        <v>131</v>
      </c>
      <c r="E3377" t="s">
        <v>132</v>
      </c>
      <c r="F3377" t="s">
        <v>7</v>
      </c>
    </row>
    <row r="3378" spans="1:6" x14ac:dyDescent="0.2">
      <c r="A3378">
        <v>37454907</v>
      </c>
      <c r="B3378">
        <v>2014</v>
      </c>
      <c r="C3378">
        <v>29.3863110627296</v>
      </c>
      <c r="D3378" t="s">
        <v>131</v>
      </c>
      <c r="E3378" t="s">
        <v>132</v>
      </c>
      <c r="F3378" t="s">
        <v>7</v>
      </c>
    </row>
    <row r="3379" spans="1:6" x14ac:dyDescent="0.2">
      <c r="A3379">
        <v>37454907</v>
      </c>
      <c r="B3379">
        <v>2013</v>
      </c>
      <c r="C3379">
        <v>45.0108225108225</v>
      </c>
      <c r="D3379" t="s">
        <v>131</v>
      </c>
      <c r="E3379" t="s">
        <v>132</v>
      </c>
      <c r="F3379" t="s">
        <v>7</v>
      </c>
    </row>
    <row r="3380" spans="1:6" x14ac:dyDescent="0.2">
      <c r="A3380">
        <v>37454907</v>
      </c>
      <c r="B3380">
        <v>2012</v>
      </c>
      <c r="C3380">
        <v>27.983539094650201</v>
      </c>
      <c r="D3380" t="s">
        <v>131</v>
      </c>
      <c r="E3380" t="s">
        <v>132</v>
      </c>
      <c r="F3380" t="s">
        <v>7</v>
      </c>
    </row>
    <row r="3381" spans="1:6" x14ac:dyDescent="0.2">
      <c r="A3381">
        <v>37454907</v>
      </c>
      <c r="B3381">
        <v>2011</v>
      </c>
      <c r="C3381">
        <v>36.207729468598998</v>
      </c>
      <c r="D3381" t="s">
        <v>131</v>
      </c>
      <c r="E3381" t="s">
        <v>132</v>
      </c>
      <c r="F3381" t="s">
        <v>7</v>
      </c>
    </row>
    <row r="3382" spans="1:6" x14ac:dyDescent="0.2">
      <c r="A3382">
        <v>85446342</v>
      </c>
      <c r="B3382">
        <v>2020</v>
      </c>
      <c r="C3382">
        <v>4.2165117259826896</v>
      </c>
      <c r="D3382" t="s">
        <v>949</v>
      </c>
      <c r="E3382" t="s">
        <v>950</v>
      </c>
      <c r="F3382" t="s">
        <v>268</v>
      </c>
    </row>
    <row r="3383" spans="1:6" x14ac:dyDescent="0.2">
      <c r="A3383">
        <v>85446342</v>
      </c>
      <c r="B3383">
        <v>2019</v>
      </c>
      <c r="C3383">
        <v>3.9335015585572202</v>
      </c>
      <c r="D3383" t="s">
        <v>949</v>
      </c>
      <c r="E3383" t="s">
        <v>950</v>
      </c>
      <c r="F3383" t="s">
        <v>268</v>
      </c>
    </row>
    <row r="3384" spans="1:6" x14ac:dyDescent="0.2">
      <c r="A3384">
        <v>85446342</v>
      </c>
      <c r="B3384">
        <v>2018</v>
      </c>
      <c r="C3384">
        <v>3.8362748855446398</v>
      </c>
      <c r="D3384" t="s">
        <v>949</v>
      </c>
      <c r="E3384" t="s">
        <v>950</v>
      </c>
      <c r="F3384" t="s">
        <v>268</v>
      </c>
    </row>
    <row r="3385" spans="1:6" x14ac:dyDescent="0.2">
      <c r="A3385">
        <v>85446342</v>
      </c>
      <c r="B3385">
        <v>2016</v>
      </c>
      <c r="C3385">
        <v>1.86699518350396</v>
      </c>
      <c r="D3385" t="s">
        <v>949</v>
      </c>
      <c r="E3385" t="s">
        <v>950</v>
      </c>
      <c r="F3385" t="s">
        <v>268</v>
      </c>
    </row>
    <row r="3386" spans="1:6" x14ac:dyDescent="0.2">
      <c r="A3386">
        <v>32712043</v>
      </c>
      <c r="B3386">
        <v>2020</v>
      </c>
      <c r="C3386">
        <v>44.35</v>
      </c>
      <c r="D3386" t="s">
        <v>1032</v>
      </c>
      <c r="E3386" t="s">
        <v>5</v>
      </c>
      <c r="F3386" t="s">
        <v>1126</v>
      </c>
    </row>
    <row r="3387" spans="1:6" x14ac:dyDescent="0.2">
      <c r="A3387">
        <v>32712043</v>
      </c>
      <c r="B3387">
        <v>2019</v>
      </c>
      <c r="C3387">
        <v>62.85</v>
      </c>
      <c r="D3387" t="s">
        <v>1032</v>
      </c>
      <c r="E3387" t="s">
        <v>5</v>
      </c>
      <c r="F3387" t="s">
        <v>1126</v>
      </c>
    </row>
    <row r="3388" spans="1:6" x14ac:dyDescent="0.2">
      <c r="A3388">
        <v>32712043</v>
      </c>
      <c r="B3388">
        <v>2018</v>
      </c>
      <c r="C3388">
        <v>62.7777777777778</v>
      </c>
      <c r="D3388" t="s">
        <v>1032</v>
      </c>
      <c r="E3388" t="s">
        <v>5</v>
      </c>
      <c r="F3388" t="s">
        <v>1126</v>
      </c>
    </row>
    <row r="3389" spans="1:6" x14ac:dyDescent="0.2">
      <c r="A3389">
        <v>50974180</v>
      </c>
      <c r="B3389">
        <v>2020</v>
      </c>
      <c r="C3389">
        <v>30.196362632432599</v>
      </c>
      <c r="D3389" t="s">
        <v>542</v>
      </c>
      <c r="E3389" t="s">
        <v>543</v>
      </c>
      <c r="F3389" t="s">
        <v>385</v>
      </c>
    </row>
    <row r="3390" spans="1:6" x14ac:dyDescent="0.2">
      <c r="A3390">
        <v>50974180</v>
      </c>
      <c r="B3390">
        <v>2018</v>
      </c>
      <c r="C3390">
        <v>30.2170688987955</v>
      </c>
      <c r="D3390" t="s">
        <v>542</v>
      </c>
      <c r="E3390" t="s">
        <v>543</v>
      </c>
      <c r="F3390" t="s">
        <v>385</v>
      </c>
    </row>
    <row r="3391" spans="1:6" x14ac:dyDescent="0.2">
      <c r="A3391">
        <v>50974180</v>
      </c>
      <c r="B3391">
        <v>2017</v>
      </c>
      <c r="C3391">
        <v>41.573032088048997</v>
      </c>
      <c r="D3391" t="s">
        <v>542</v>
      </c>
      <c r="E3391" t="s">
        <v>543</v>
      </c>
      <c r="F3391" t="s">
        <v>385</v>
      </c>
    </row>
    <row r="3392" spans="1:6" x14ac:dyDescent="0.2">
      <c r="A3392">
        <v>50974180</v>
      </c>
      <c r="B3392">
        <v>2016</v>
      </c>
      <c r="C3392">
        <v>25.518833995835699</v>
      </c>
      <c r="D3392" t="s">
        <v>542</v>
      </c>
      <c r="E3392" t="s">
        <v>543</v>
      </c>
      <c r="F3392" t="s">
        <v>385</v>
      </c>
    </row>
    <row r="3393" spans="1:6" x14ac:dyDescent="0.2">
      <c r="A3393">
        <v>37827871</v>
      </c>
      <c r="B3393">
        <v>2020</v>
      </c>
      <c r="C3393">
        <v>7.5825502728507104</v>
      </c>
      <c r="D3393" t="s">
        <v>439</v>
      </c>
      <c r="E3393" t="s">
        <v>136</v>
      </c>
      <c r="F3393" t="s">
        <v>137</v>
      </c>
    </row>
    <row r="3394" spans="1:6" x14ac:dyDescent="0.2">
      <c r="A3394">
        <v>37827871</v>
      </c>
      <c r="B3394">
        <v>2019</v>
      </c>
      <c r="C3394">
        <v>7.1860452749596497</v>
      </c>
      <c r="D3394" t="s">
        <v>439</v>
      </c>
      <c r="E3394" t="s">
        <v>136</v>
      </c>
      <c r="F3394" t="s">
        <v>137</v>
      </c>
    </row>
    <row r="3395" spans="1:6" x14ac:dyDescent="0.2">
      <c r="A3395">
        <v>37827871</v>
      </c>
      <c r="B3395">
        <v>2018</v>
      </c>
      <c r="C3395">
        <v>12.342466262686299</v>
      </c>
      <c r="D3395" t="s">
        <v>439</v>
      </c>
      <c r="E3395" t="s">
        <v>136</v>
      </c>
      <c r="F3395" t="s">
        <v>137</v>
      </c>
    </row>
    <row r="3396" spans="1:6" x14ac:dyDescent="0.2">
      <c r="A3396">
        <v>37827871</v>
      </c>
      <c r="B3396">
        <v>2016</v>
      </c>
      <c r="C3396">
        <v>22.372726809179401</v>
      </c>
      <c r="D3396" t="s">
        <v>439</v>
      </c>
      <c r="E3396" t="s">
        <v>136</v>
      </c>
      <c r="F3396" t="s">
        <v>137</v>
      </c>
    </row>
    <row r="3397" spans="1:6" x14ac:dyDescent="0.2">
      <c r="A3397">
        <v>37827871</v>
      </c>
      <c r="B3397">
        <v>2015</v>
      </c>
      <c r="C3397">
        <v>14.4631347272441</v>
      </c>
      <c r="D3397" t="s">
        <v>439</v>
      </c>
      <c r="E3397" t="s">
        <v>136</v>
      </c>
      <c r="F3397" t="s">
        <v>137</v>
      </c>
    </row>
    <row r="3398" spans="1:6" x14ac:dyDescent="0.2">
      <c r="A3398">
        <v>37827871</v>
      </c>
      <c r="B3398">
        <v>2013</v>
      </c>
      <c r="C3398">
        <v>38.348082595870203</v>
      </c>
      <c r="D3398" t="s">
        <v>439</v>
      </c>
      <c r="E3398" t="s">
        <v>136</v>
      </c>
      <c r="F3398" t="s">
        <v>137</v>
      </c>
    </row>
    <row r="3399" spans="1:6" x14ac:dyDescent="0.2">
      <c r="A3399">
        <v>64779259</v>
      </c>
      <c r="B3399">
        <v>2020</v>
      </c>
      <c r="C3399">
        <v>55.362595864705497</v>
      </c>
      <c r="D3399" t="s">
        <v>1057</v>
      </c>
      <c r="E3399" t="s">
        <v>298</v>
      </c>
      <c r="F3399" t="s">
        <v>33</v>
      </c>
    </row>
    <row r="3400" spans="1:6" x14ac:dyDescent="0.2">
      <c r="A3400">
        <v>64779259</v>
      </c>
      <c r="B3400">
        <v>2019</v>
      </c>
      <c r="C3400">
        <v>52.014158198429101</v>
      </c>
      <c r="D3400" t="s">
        <v>1057</v>
      </c>
      <c r="E3400" t="s">
        <v>298</v>
      </c>
      <c r="F3400" t="s">
        <v>33</v>
      </c>
    </row>
    <row r="3401" spans="1:6" x14ac:dyDescent="0.2">
      <c r="A3401">
        <v>64779259</v>
      </c>
      <c r="B3401">
        <v>2018</v>
      </c>
      <c r="C3401">
        <v>61.737589008239702</v>
      </c>
      <c r="D3401" t="s">
        <v>1057</v>
      </c>
      <c r="E3401" t="s">
        <v>298</v>
      </c>
      <c r="F3401" t="s">
        <v>33</v>
      </c>
    </row>
    <row r="3402" spans="1:6" x14ac:dyDescent="0.2">
      <c r="A3402">
        <v>64779259</v>
      </c>
      <c r="B3402">
        <v>2017</v>
      </c>
      <c r="C3402">
        <v>54.751990188443401</v>
      </c>
      <c r="D3402" t="s">
        <v>1057</v>
      </c>
      <c r="E3402" t="s">
        <v>298</v>
      </c>
      <c r="F3402" t="s">
        <v>33</v>
      </c>
    </row>
    <row r="3403" spans="1:6" x14ac:dyDescent="0.2">
      <c r="A3403">
        <v>64779259</v>
      </c>
      <c r="B3403">
        <v>2015</v>
      </c>
      <c r="C3403">
        <v>45.599489795918402</v>
      </c>
      <c r="D3403" t="s">
        <v>1057</v>
      </c>
      <c r="E3403" t="s">
        <v>298</v>
      </c>
      <c r="F3403" t="s">
        <v>33</v>
      </c>
    </row>
    <row r="3404" spans="1:6" x14ac:dyDescent="0.2">
      <c r="A3404">
        <v>80096441</v>
      </c>
      <c r="B3404">
        <v>2019</v>
      </c>
      <c r="C3404">
        <v>36.631744557404502</v>
      </c>
      <c r="D3404" t="s">
        <v>726</v>
      </c>
      <c r="E3404" t="s">
        <v>727</v>
      </c>
      <c r="F3404" t="s">
        <v>728</v>
      </c>
    </row>
    <row r="3405" spans="1:6" x14ac:dyDescent="0.2">
      <c r="A3405">
        <v>99801796</v>
      </c>
      <c r="B3405">
        <v>2019</v>
      </c>
      <c r="C3405">
        <v>10.8615371247339</v>
      </c>
      <c r="D3405" t="s">
        <v>767</v>
      </c>
      <c r="E3405" t="s">
        <v>585</v>
      </c>
      <c r="F3405" t="s">
        <v>119</v>
      </c>
    </row>
    <row r="3406" spans="1:6" x14ac:dyDescent="0.2">
      <c r="A3406">
        <v>74904458</v>
      </c>
      <c r="B3406">
        <v>2020</v>
      </c>
      <c r="C3406">
        <v>49.968251257559501</v>
      </c>
      <c r="D3406" t="s">
        <v>349</v>
      </c>
      <c r="E3406"/>
      <c r="F3406" t="s">
        <v>348</v>
      </c>
    </row>
    <row r="3407" spans="1:6" x14ac:dyDescent="0.2">
      <c r="A3407">
        <v>74904458</v>
      </c>
      <c r="B3407">
        <v>2019</v>
      </c>
      <c r="C3407">
        <v>48.399302604858597</v>
      </c>
      <c r="D3407" t="s">
        <v>349</v>
      </c>
      <c r="E3407"/>
      <c r="F3407" t="s">
        <v>348</v>
      </c>
    </row>
    <row r="3408" spans="1:6" x14ac:dyDescent="0.2">
      <c r="A3408">
        <v>74904458</v>
      </c>
      <c r="B3408">
        <v>2018</v>
      </c>
      <c r="C3408">
        <v>52.301888886121098</v>
      </c>
      <c r="D3408" t="s">
        <v>349</v>
      </c>
      <c r="E3408"/>
      <c r="F3408" t="s">
        <v>348</v>
      </c>
    </row>
    <row r="3409" spans="1:6" x14ac:dyDescent="0.2">
      <c r="A3409">
        <v>74904458</v>
      </c>
      <c r="B3409">
        <v>2017</v>
      </c>
      <c r="C3409">
        <v>52.897862526928499</v>
      </c>
      <c r="D3409" t="s">
        <v>349</v>
      </c>
      <c r="E3409"/>
      <c r="F3409" t="s">
        <v>348</v>
      </c>
    </row>
    <row r="3410" spans="1:6" x14ac:dyDescent="0.2">
      <c r="A3410">
        <v>74904458</v>
      </c>
      <c r="B3410">
        <v>2016</v>
      </c>
      <c r="C3410">
        <v>48.708224129366002</v>
      </c>
      <c r="D3410" t="s">
        <v>349</v>
      </c>
      <c r="E3410"/>
      <c r="F3410" t="s">
        <v>348</v>
      </c>
    </row>
    <row r="3411" spans="1:6" x14ac:dyDescent="0.2">
      <c r="A3411">
        <v>74904458</v>
      </c>
      <c r="B3411">
        <v>2015</v>
      </c>
      <c r="C3411">
        <v>53.005413477692699</v>
      </c>
      <c r="D3411" t="s">
        <v>349</v>
      </c>
      <c r="E3411"/>
      <c r="F3411" t="s">
        <v>348</v>
      </c>
    </row>
    <row r="3412" spans="1:6" x14ac:dyDescent="0.2">
      <c r="A3412">
        <v>74904458</v>
      </c>
      <c r="B3412">
        <v>2014</v>
      </c>
      <c r="C3412">
        <v>60.984693794207502</v>
      </c>
      <c r="D3412" t="s">
        <v>349</v>
      </c>
      <c r="E3412"/>
      <c r="F3412" t="s">
        <v>348</v>
      </c>
    </row>
    <row r="3413" spans="1:6" x14ac:dyDescent="0.2">
      <c r="A3413">
        <v>74904458</v>
      </c>
      <c r="B3413">
        <v>2013</v>
      </c>
      <c r="C3413">
        <v>61.538461538461497</v>
      </c>
      <c r="D3413" t="s">
        <v>349</v>
      </c>
      <c r="E3413"/>
      <c r="F3413" t="s">
        <v>348</v>
      </c>
    </row>
    <row r="3414" spans="1:6" x14ac:dyDescent="0.2">
      <c r="A3414">
        <v>74904458</v>
      </c>
      <c r="B3414">
        <v>2012</v>
      </c>
      <c r="C3414">
        <v>54.160194174757301</v>
      </c>
      <c r="D3414" t="s">
        <v>349</v>
      </c>
      <c r="E3414"/>
      <c r="F3414" t="s">
        <v>348</v>
      </c>
    </row>
    <row r="3415" spans="1:6" x14ac:dyDescent="0.2">
      <c r="A3415">
        <v>74904458</v>
      </c>
      <c r="B3415">
        <v>2011</v>
      </c>
      <c r="C3415">
        <v>63.062310030395103</v>
      </c>
      <c r="D3415" t="s">
        <v>349</v>
      </c>
      <c r="E3415"/>
      <c r="F3415" t="s">
        <v>348</v>
      </c>
    </row>
    <row r="3416" spans="1:6" x14ac:dyDescent="0.2">
      <c r="A3416">
        <v>74904458</v>
      </c>
      <c r="B3416">
        <v>2010</v>
      </c>
      <c r="C3416">
        <v>42.362288135593197</v>
      </c>
      <c r="D3416" t="s">
        <v>349</v>
      </c>
      <c r="E3416"/>
      <c r="F3416" t="s">
        <v>348</v>
      </c>
    </row>
    <row r="3417" spans="1:6" x14ac:dyDescent="0.2">
      <c r="A3417">
        <v>51580021</v>
      </c>
      <c r="B3417">
        <v>2019</v>
      </c>
      <c r="C3417">
        <v>52.4433333333333</v>
      </c>
      <c r="D3417" t="s">
        <v>1104</v>
      </c>
      <c r="E3417" t="s">
        <v>474</v>
      </c>
      <c r="F3417" t="s">
        <v>1126</v>
      </c>
    </row>
    <row r="3418" spans="1:6" x14ac:dyDescent="0.2">
      <c r="A3418">
        <v>51580021</v>
      </c>
      <c r="B3418">
        <v>2017</v>
      </c>
      <c r="C3418">
        <v>55.664999999999999</v>
      </c>
      <c r="D3418" t="s">
        <v>1104</v>
      </c>
      <c r="E3418" t="s">
        <v>474</v>
      </c>
      <c r="F3418" t="s">
        <v>1126</v>
      </c>
    </row>
    <row r="3419" spans="1:6" x14ac:dyDescent="0.2">
      <c r="A3419">
        <v>51580021</v>
      </c>
      <c r="B3419">
        <v>2016</v>
      </c>
      <c r="C3419">
        <v>38.816666666666698</v>
      </c>
      <c r="D3419" t="s">
        <v>1104</v>
      </c>
      <c r="E3419" t="s">
        <v>474</v>
      </c>
      <c r="F3419" t="s">
        <v>1126</v>
      </c>
    </row>
    <row r="3420" spans="1:6" x14ac:dyDescent="0.2">
      <c r="A3420">
        <v>51580021</v>
      </c>
      <c r="B3420">
        <v>2015</v>
      </c>
      <c r="C3420">
        <v>44.997500000000002</v>
      </c>
      <c r="D3420" t="s">
        <v>1104</v>
      </c>
      <c r="E3420" t="s">
        <v>474</v>
      </c>
      <c r="F3420" t="s">
        <v>1126</v>
      </c>
    </row>
    <row r="3421" spans="1:6" x14ac:dyDescent="0.2">
      <c r="A3421">
        <v>47447292</v>
      </c>
      <c r="B3421">
        <v>2020</v>
      </c>
      <c r="C3421">
        <v>13.9585386859174</v>
      </c>
      <c r="D3421" t="s">
        <v>61</v>
      </c>
      <c r="E3421" t="s">
        <v>62</v>
      </c>
      <c r="F3421" t="s">
        <v>42</v>
      </c>
    </row>
    <row r="3422" spans="1:6" x14ac:dyDescent="0.2">
      <c r="A3422">
        <v>47447292</v>
      </c>
      <c r="B3422">
        <v>2019</v>
      </c>
      <c r="C3422">
        <v>14.265595660338001</v>
      </c>
      <c r="D3422" t="s">
        <v>61</v>
      </c>
      <c r="E3422" t="s">
        <v>62</v>
      </c>
      <c r="F3422" t="s">
        <v>42</v>
      </c>
    </row>
    <row r="3423" spans="1:6" x14ac:dyDescent="0.2">
      <c r="A3423">
        <v>47447292</v>
      </c>
      <c r="B3423">
        <v>2018</v>
      </c>
      <c r="C3423">
        <v>14.4298192214211</v>
      </c>
      <c r="D3423" t="s">
        <v>61</v>
      </c>
      <c r="E3423" t="s">
        <v>62</v>
      </c>
      <c r="F3423" t="s">
        <v>42</v>
      </c>
    </row>
    <row r="3424" spans="1:6" x14ac:dyDescent="0.2">
      <c r="A3424">
        <v>47447292</v>
      </c>
      <c r="B3424">
        <v>2016</v>
      </c>
      <c r="C3424">
        <v>12.5421337305009</v>
      </c>
      <c r="D3424" t="s">
        <v>61</v>
      </c>
      <c r="E3424" t="s">
        <v>62</v>
      </c>
      <c r="F3424" t="s">
        <v>42</v>
      </c>
    </row>
    <row r="3425" spans="1:6" x14ac:dyDescent="0.2">
      <c r="A3425">
        <v>47447292</v>
      </c>
      <c r="B3425">
        <v>2015</v>
      </c>
      <c r="C3425">
        <v>11.1124174628037</v>
      </c>
      <c r="D3425" t="s">
        <v>61</v>
      </c>
      <c r="E3425" t="s">
        <v>62</v>
      </c>
      <c r="F3425" t="s">
        <v>42</v>
      </c>
    </row>
    <row r="3426" spans="1:6" x14ac:dyDescent="0.2">
      <c r="A3426">
        <v>42846800</v>
      </c>
      <c r="B3426">
        <v>2020</v>
      </c>
      <c r="C3426">
        <v>15.564335647452801</v>
      </c>
      <c r="D3426" t="s">
        <v>885</v>
      </c>
      <c r="E3426" t="s">
        <v>886</v>
      </c>
      <c r="F3426" t="s">
        <v>244</v>
      </c>
    </row>
    <row r="3427" spans="1:6" x14ac:dyDescent="0.2">
      <c r="A3427">
        <v>42846800</v>
      </c>
      <c r="B3427">
        <v>2019</v>
      </c>
      <c r="C3427">
        <v>12.855767908703401</v>
      </c>
      <c r="D3427" t="s">
        <v>885</v>
      </c>
      <c r="E3427" t="s">
        <v>886</v>
      </c>
      <c r="F3427" t="s">
        <v>244</v>
      </c>
    </row>
    <row r="3428" spans="1:6" x14ac:dyDescent="0.2">
      <c r="A3428">
        <v>42846800</v>
      </c>
      <c r="B3428">
        <v>2018</v>
      </c>
      <c r="C3428">
        <v>13.672536122707699</v>
      </c>
      <c r="D3428" t="s">
        <v>885</v>
      </c>
      <c r="E3428" t="s">
        <v>886</v>
      </c>
      <c r="F3428" t="s">
        <v>244</v>
      </c>
    </row>
    <row r="3429" spans="1:6" x14ac:dyDescent="0.2">
      <c r="A3429">
        <v>73945924</v>
      </c>
      <c r="B3429">
        <v>2020</v>
      </c>
      <c r="C3429">
        <v>64.8</v>
      </c>
      <c r="D3429" t="s">
        <v>1020</v>
      </c>
      <c r="E3429" t="s">
        <v>445</v>
      </c>
      <c r="F3429" t="s">
        <v>1126</v>
      </c>
    </row>
    <row r="3430" spans="1:6" x14ac:dyDescent="0.2">
      <c r="A3430">
        <v>73945924</v>
      </c>
      <c r="B3430">
        <v>2019</v>
      </c>
      <c r="C3430">
        <v>70.272727272727295</v>
      </c>
      <c r="D3430" t="s">
        <v>1020</v>
      </c>
      <c r="E3430" t="s">
        <v>445</v>
      </c>
      <c r="F3430" t="s">
        <v>1126</v>
      </c>
    </row>
    <row r="3431" spans="1:6" x14ac:dyDescent="0.2">
      <c r="A3431">
        <v>73945924</v>
      </c>
      <c r="B3431">
        <v>2018</v>
      </c>
      <c r="C3431">
        <v>63.912500000000001</v>
      </c>
      <c r="D3431" t="s">
        <v>1020</v>
      </c>
      <c r="E3431" t="s">
        <v>445</v>
      </c>
      <c r="F3431" t="s">
        <v>1126</v>
      </c>
    </row>
    <row r="3432" spans="1:6" x14ac:dyDescent="0.2">
      <c r="A3432">
        <v>73945924</v>
      </c>
      <c r="B3432">
        <v>2017</v>
      </c>
      <c r="C3432">
        <v>70</v>
      </c>
      <c r="D3432" t="s">
        <v>1020</v>
      </c>
      <c r="E3432" t="s">
        <v>445</v>
      </c>
      <c r="F3432" t="s">
        <v>1126</v>
      </c>
    </row>
    <row r="3433" spans="1:6" x14ac:dyDescent="0.2">
      <c r="A3433">
        <v>73945924</v>
      </c>
      <c r="B3433">
        <v>2016</v>
      </c>
      <c r="C3433">
        <v>53.564285714285703</v>
      </c>
      <c r="D3433" t="s">
        <v>1020</v>
      </c>
      <c r="E3433" t="s">
        <v>445</v>
      </c>
      <c r="F3433" t="s">
        <v>1126</v>
      </c>
    </row>
    <row r="3434" spans="1:6" x14ac:dyDescent="0.2">
      <c r="A3434">
        <v>56630487</v>
      </c>
      <c r="B3434">
        <v>2018</v>
      </c>
      <c r="C3434">
        <v>34.770374836699801</v>
      </c>
      <c r="D3434" t="s">
        <v>1050</v>
      </c>
      <c r="E3434"/>
      <c r="F3434" t="s">
        <v>265</v>
      </c>
    </row>
    <row r="3435" spans="1:6" x14ac:dyDescent="0.2">
      <c r="A3435">
        <v>56630487</v>
      </c>
      <c r="B3435">
        <v>2014</v>
      </c>
      <c r="C3435">
        <v>24.4159591587592</v>
      </c>
      <c r="D3435" t="s">
        <v>1050</v>
      </c>
      <c r="E3435"/>
      <c r="F3435" t="s">
        <v>265</v>
      </c>
    </row>
    <row r="3436" spans="1:6" x14ac:dyDescent="0.2">
      <c r="A3436">
        <v>56630487</v>
      </c>
      <c r="B3436">
        <v>2013</v>
      </c>
      <c r="C3436">
        <v>51.212017753499502</v>
      </c>
      <c r="D3436" t="s">
        <v>1050</v>
      </c>
      <c r="E3436"/>
      <c r="F3436" t="s">
        <v>265</v>
      </c>
    </row>
    <row r="3437" spans="1:6" x14ac:dyDescent="0.2">
      <c r="A3437">
        <v>19945721</v>
      </c>
      <c r="B3437">
        <v>2020</v>
      </c>
      <c r="C3437">
        <v>20.1213830919306</v>
      </c>
      <c r="D3437" t="s">
        <v>264</v>
      </c>
      <c r="E3437"/>
      <c r="F3437" t="s">
        <v>265</v>
      </c>
    </row>
    <row r="3438" spans="1:6" x14ac:dyDescent="0.2">
      <c r="A3438">
        <v>19945721</v>
      </c>
      <c r="B3438">
        <v>2019</v>
      </c>
      <c r="C3438">
        <v>21.669784697339601</v>
      </c>
      <c r="D3438" t="s">
        <v>264</v>
      </c>
      <c r="E3438"/>
      <c r="F3438" t="s">
        <v>265</v>
      </c>
    </row>
    <row r="3439" spans="1:6" x14ac:dyDescent="0.2">
      <c r="A3439">
        <v>19945721</v>
      </c>
      <c r="B3439">
        <v>2018</v>
      </c>
      <c r="C3439">
        <v>28.419597910101398</v>
      </c>
      <c r="D3439" t="s">
        <v>264</v>
      </c>
      <c r="E3439"/>
      <c r="F3439" t="s">
        <v>265</v>
      </c>
    </row>
    <row r="3440" spans="1:6" x14ac:dyDescent="0.2">
      <c r="A3440">
        <v>19945721</v>
      </c>
      <c r="B3440">
        <v>2017</v>
      </c>
      <c r="C3440">
        <v>24.9247054654974</v>
      </c>
      <c r="D3440" t="s">
        <v>264</v>
      </c>
      <c r="E3440"/>
      <c r="F3440" t="s">
        <v>265</v>
      </c>
    </row>
    <row r="3441" spans="1:6" x14ac:dyDescent="0.2">
      <c r="A3441">
        <v>19945721</v>
      </c>
      <c r="B3441">
        <v>2016</v>
      </c>
      <c r="C3441">
        <v>25.015245609886598</v>
      </c>
      <c r="D3441" t="s">
        <v>264</v>
      </c>
      <c r="E3441"/>
      <c r="F3441" t="s">
        <v>265</v>
      </c>
    </row>
    <row r="3442" spans="1:6" x14ac:dyDescent="0.2">
      <c r="A3442">
        <v>19945721</v>
      </c>
      <c r="B3442">
        <v>2015</v>
      </c>
      <c r="C3442">
        <v>23.247439866634899</v>
      </c>
      <c r="D3442" t="s">
        <v>264</v>
      </c>
      <c r="E3442"/>
      <c r="F3442" t="s">
        <v>265</v>
      </c>
    </row>
    <row r="3443" spans="1:6" x14ac:dyDescent="0.2">
      <c r="A3443">
        <v>19945721</v>
      </c>
      <c r="B3443">
        <v>2014</v>
      </c>
      <c r="C3443">
        <v>20.927964993222201</v>
      </c>
      <c r="D3443" t="s">
        <v>264</v>
      </c>
      <c r="E3443"/>
      <c r="F3443" t="s">
        <v>265</v>
      </c>
    </row>
    <row r="3444" spans="1:6" x14ac:dyDescent="0.2">
      <c r="A3444">
        <v>19945721</v>
      </c>
      <c r="B3444">
        <v>2013</v>
      </c>
      <c r="C3444">
        <v>25.9474223284397</v>
      </c>
      <c r="D3444" t="s">
        <v>264</v>
      </c>
      <c r="E3444"/>
      <c r="F3444" t="s">
        <v>265</v>
      </c>
    </row>
    <row r="3445" spans="1:6" x14ac:dyDescent="0.2">
      <c r="A3445">
        <v>19945721</v>
      </c>
      <c r="B3445">
        <v>2012</v>
      </c>
      <c r="C3445">
        <v>26.818638954073101</v>
      </c>
      <c r="D3445" t="s">
        <v>264</v>
      </c>
      <c r="E3445"/>
      <c r="F3445" t="s">
        <v>265</v>
      </c>
    </row>
    <row r="3446" spans="1:6" x14ac:dyDescent="0.2">
      <c r="A3446">
        <v>19945721</v>
      </c>
      <c r="B3446">
        <v>2011</v>
      </c>
      <c r="C3446">
        <v>20</v>
      </c>
      <c r="D3446" t="s">
        <v>264</v>
      </c>
      <c r="E3446"/>
      <c r="F3446" t="s">
        <v>265</v>
      </c>
    </row>
    <row r="3447" spans="1:6" x14ac:dyDescent="0.2">
      <c r="A3447">
        <v>19945721</v>
      </c>
      <c r="B3447">
        <v>2010</v>
      </c>
      <c r="C3447">
        <v>21</v>
      </c>
      <c r="D3447" t="s">
        <v>264</v>
      </c>
      <c r="E3447"/>
      <c r="F3447" t="s">
        <v>265</v>
      </c>
    </row>
    <row r="3448" spans="1:6" x14ac:dyDescent="0.2">
      <c r="A3448">
        <v>37794100</v>
      </c>
      <c r="B3448">
        <v>2020</v>
      </c>
      <c r="C3448">
        <v>74.1666666666667</v>
      </c>
      <c r="D3448" t="s">
        <v>712</v>
      </c>
      <c r="E3448" t="s">
        <v>494</v>
      </c>
      <c r="F3448" t="s">
        <v>1126</v>
      </c>
    </row>
    <row r="3449" spans="1:6" x14ac:dyDescent="0.2">
      <c r="A3449">
        <v>37794100</v>
      </c>
      <c r="B3449">
        <v>2019</v>
      </c>
      <c r="C3449">
        <v>72</v>
      </c>
      <c r="D3449" t="s">
        <v>712</v>
      </c>
      <c r="E3449" t="s">
        <v>494</v>
      </c>
      <c r="F3449" t="s">
        <v>1126</v>
      </c>
    </row>
    <row r="3450" spans="1:6" x14ac:dyDescent="0.2">
      <c r="A3450">
        <v>37794100</v>
      </c>
      <c r="B3450">
        <v>2018</v>
      </c>
      <c r="C3450">
        <v>61.064</v>
      </c>
      <c r="D3450" t="s">
        <v>712</v>
      </c>
      <c r="E3450" t="s">
        <v>494</v>
      </c>
      <c r="F3450" t="s">
        <v>1126</v>
      </c>
    </row>
    <row r="3451" spans="1:6" x14ac:dyDescent="0.2">
      <c r="A3451">
        <v>37794100</v>
      </c>
      <c r="B3451">
        <v>2016</v>
      </c>
      <c r="C3451">
        <v>57.997999999999998</v>
      </c>
      <c r="D3451" t="s">
        <v>712</v>
      </c>
      <c r="E3451" t="s">
        <v>494</v>
      </c>
      <c r="F3451" t="s">
        <v>1126</v>
      </c>
    </row>
    <row r="3452" spans="1:6" x14ac:dyDescent="0.2">
      <c r="A3452">
        <v>29490958</v>
      </c>
      <c r="B3452">
        <v>2020</v>
      </c>
      <c r="C3452">
        <v>25.7473952993975</v>
      </c>
      <c r="D3452" t="s">
        <v>235</v>
      </c>
      <c r="E3452" t="s">
        <v>236</v>
      </c>
      <c r="F3452" t="s">
        <v>237</v>
      </c>
    </row>
    <row r="3453" spans="1:6" x14ac:dyDescent="0.2">
      <c r="A3453">
        <v>29490958</v>
      </c>
      <c r="B3453">
        <v>2019</v>
      </c>
      <c r="C3453">
        <v>25.9349741812471</v>
      </c>
      <c r="D3453" t="s">
        <v>235</v>
      </c>
      <c r="E3453" t="s">
        <v>236</v>
      </c>
      <c r="F3453" t="s">
        <v>237</v>
      </c>
    </row>
    <row r="3454" spans="1:6" x14ac:dyDescent="0.2">
      <c r="A3454">
        <v>29490958</v>
      </c>
      <c r="B3454">
        <v>2018</v>
      </c>
      <c r="C3454">
        <v>25.9170933289079</v>
      </c>
      <c r="D3454" t="s">
        <v>235</v>
      </c>
      <c r="E3454" t="s">
        <v>236</v>
      </c>
      <c r="F3454" t="s">
        <v>237</v>
      </c>
    </row>
    <row r="3455" spans="1:6" x14ac:dyDescent="0.2">
      <c r="A3455">
        <v>29490958</v>
      </c>
      <c r="B3455">
        <v>2017</v>
      </c>
      <c r="C3455">
        <v>22.4400786619677</v>
      </c>
      <c r="D3455" t="s">
        <v>235</v>
      </c>
      <c r="E3455" t="s">
        <v>236</v>
      </c>
      <c r="F3455" t="s">
        <v>237</v>
      </c>
    </row>
    <row r="3456" spans="1:6" x14ac:dyDescent="0.2">
      <c r="A3456">
        <v>29490958</v>
      </c>
      <c r="B3456">
        <v>2016</v>
      </c>
      <c r="C3456">
        <v>17.333670983347499</v>
      </c>
      <c r="D3456" t="s">
        <v>235</v>
      </c>
      <c r="E3456" t="s">
        <v>236</v>
      </c>
      <c r="F3456" t="s">
        <v>237</v>
      </c>
    </row>
    <row r="3457" spans="1:6" x14ac:dyDescent="0.2">
      <c r="A3457">
        <v>29490958</v>
      </c>
      <c r="B3457">
        <v>2015</v>
      </c>
      <c r="C3457">
        <v>17.173302107728301</v>
      </c>
      <c r="D3457" t="s">
        <v>235</v>
      </c>
      <c r="E3457" t="s">
        <v>236</v>
      </c>
      <c r="F3457" t="s">
        <v>237</v>
      </c>
    </row>
    <row r="3458" spans="1:6" x14ac:dyDescent="0.2">
      <c r="A3458">
        <v>29490958</v>
      </c>
      <c r="B3458">
        <v>2014</v>
      </c>
      <c r="C3458">
        <v>23.132398965845699</v>
      </c>
      <c r="D3458" t="s">
        <v>235</v>
      </c>
      <c r="E3458" t="s">
        <v>236</v>
      </c>
      <c r="F3458" t="s">
        <v>237</v>
      </c>
    </row>
    <row r="3459" spans="1:6" x14ac:dyDescent="0.2">
      <c r="A3459">
        <v>29490958</v>
      </c>
      <c r="B3459">
        <v>2012</v>
      </c>
      <c r="C3459">
        <v>19.7530864197531</v>
      </c>
      <c r="D3459" t="s">
        <v>235</v>
      </c>
      <c r="E3459" t="s">
        <v>236</v>
      </c>
      <c r="F3459" t="s">
        <v>237</v>
      </c>
    </row>
    <row r="3460" spans="1:6" x14ac:dyDescent="0.2">
      <c r="A3460">
        <v>29490958</v>
      </c>
      <c r="B3460">
        <v>2011</v>
      </c>
      <c r="C3460">
        <v>28.198067632850201</v>
      </c>
      <c r="D3460" t="s">
        <v>235</v>
      </c>
      <c r="E3460" t="s">
        <v>236</v>
      </c>
      <c r="F3460" t="s">
        <v>237</v>
      </c>
    </row>
    <row r="3461" spans="1:6" x14ac:dyDescent="0.2">
      <c r="A3461">
        <v>29490958</v>
      </c>
      <c r="B3461">
        <v>2010</v>
      </c>
      <c r="C3461">
        <v>17.753235704739598</v>
      </c>
      <c r="D3461" t="s">
        <v>235</v>
      </c>
      <c r="E3461" t="s">
        <v>236</v>
      </c>
      <c r="F3461" t="s">
        <v>237</v>
      </c>
    </row>
    <row r="3462" spans="1:6" x14ac:dyDescent="0.2">
      <c r="A3462">
        <v>42045737</v>
      </c>
      <c r="B3462">
        <v>2020</v>
      </c>
      <c r="C3462">
        <v>62.998461538461498</v>
      </c>
      <c r="D3462" t="s">
        <v>830</v>
      </c>
      <c r="E3462" t="s">
        <v>494</v>
      </c>
      <c r="F3462" t="s">
        <v>1126</v>
      </c>
    </row>
    <row r="3463" spans="1:6" x14ac:dyDescent="0.2">
      <c r="A3463">
        <v>42045737</v>
      </c>
      <c r="B3463">
        <v>2019</v>
      </c>
      <c r="C3463">
        <v>57.799666666666702</v>
      </c>
      <c r="D3463" t="s">
        <v>830</v>
      </c>
      <c r="E3463" t="s">
        <v>494</v>
      </c>
      <c r="F3463" t="s">
        <v>1126</v>
      </c>
    </row>
    <row r="3464" spans="1:6" x14ac:dyDescent="0.2">
      <c r="A3464">
        <v>42045737</v>
      </c>
      <c r="B3464">
        <v>2018</v>
      </c>
      <c r="C3464">
        <v>61.0624242424242</v>
      </c>
      <c r="D3464" t="s">
        <v>830</v>
      </c>
      <c r="E3464" t="s">
        <v>494</v>
      </c>
      <c r="F3464" t="s">
        <v>1126</v>
      </c>
    </row>
    <row r="3465" spans="1:6" x14ac:dyDescent="0.2">
      <c r="A3465">
        <v>42045737</v>
      </c>
      <c r="B3465">
        <v>2017</v>
      </c>
      <c r="C3465">
        <v>55.707916666666698</v>
      </c>
      <c r="D3465" t="s">
        <v>830</v>
      </c>
      <c r="E3465" t="s">
        <v>494</v>
      </c>
      <c r="F3465" t="s">
        <v>1126</v>
      </c>
    </row>
    <row r="3466" spans="1:6" x14ac:dyDescent="0.2">
      <c r="A3466">
        <v>42045737</v>
      </c>
      <c r="B3466">
        <v>2016</v>
      </c>
      <c r="C3466">
        <v>57</v>
      </c>
      <c r="D3466" t="s">
        <v>830</v>
      </c>
      <c r="E3466" t="s">
        <v>494</v>
      </c>
      <c r="F3466" t="s">
        <v>1126</v>
      </c>
    </row>
    <row r="3467" spans="1:6" x14ac:dyDescent="0.2">
      <c r="A3467">
        <v>42045737</v>
      </c>
      <c r="B3467">
        <v>2015</v>
      </c>
      <c r="C3467">
        <v>49.348333333333301</v>
      </c>
      <c r="D3467" t="s">
        <v>830</v>
      </c>
      <c r="E3467" t="s">
        <v>494</v>
      </c>
      <c r="F3467" t="s">
        <v>1126</v>
      </c>
    </row>
    <row r="3468" spans="1:6" x14ac:dyDescent="0.2">
      <c r="A3468">
        <v>42045737</v>
      </c>
      <c r="B3468">
        <v>2014</v>
      </c>
      <c r="C3468">
        <v>40</v>
      </c>
      <c r="D3468" t="s">
        <v>830</v>
      </c>
      <c r="E3468" t="s">
        <v>494</v>
      </c>
      <c r="F3468" t="s">
        <v>1126</v>
      </c>
    </row>
    <row r="3469" spans="1:6" x14ac:dyDescent="0.2">
      <c r="A3469">
        <v>42045737</v>
      </c>
      <c r="B3469">
        <v>2013</v>
      </c>
      <c r="C3469">
        <v>50.714285714285701</v>
      </c>
      <c r="D3469" t="s">
        <v>830</v>
      </c>
      <c r="E3469" t="s">
        <v>494</v>
      </c>
      <c r="F3469" t="s">
        <v>1126</v>
      </c>
    </row>
    <row r="3470" spans="1:6" x14ac:dyDescent="0.2">
      <c r="A3470">
        <v>42045737</v>
      </c>
      <c r="B3470">
        <v>2012</v>
      </c>
      <c r="C3470">
        <v>48.142857142857203</v>
      </c>
      <c r="D3470" t="s">
        <v>830</v>
      </c>
      <c r="E3470" t="s">
        <v>494</v>
      </c>
      <c r="F3470" t="s">
        <v>1126</v>
      </c>
    </row>
    <row r="3471" spans="1:6" x14ac:dyDescent="0.2">
      <c r="A3471">
        <v>42045737</v>
      </c>
      <c r="B3471">
        <v>2011</v>
      </c>
      <c r="C3471">
        <v>20</v>
      </c>
      <c r="D3471" t="s">
        <v>830</v>
      </c>
      <c r="E3471" t="s">
        <v>494</v>
      </c>
      <c r="F3471" t="s">
        <v>1126</v>
      </c>
    </row>
    <row r="3472" spans="1:6" x14ac:dyDescent="0.2">
      <c r="A3472">
        <v>42045737</v>
      </c>
      <c r="B3472">
        <v>2010</v>
      </c>
      <c r="C3472">
        <v>75</v>
      </c>
      <c r="D3472" t="s">
        <v>830</v>
      </c>
      <c r="E3472" t="s">
        <v>494</v>
      </c>
      <c r="F3472" t="s">
        <v>1126</v>
      </c>
    </row>
    <row r="3473" spans="1:6" x14ac:dyDescent="0.2">
      <c r="A3473">
        <v>79796040</v>
      </c>
      <c r="B3473">
        <v>2019</v>
      </c>
      <c r="C3473">
        <v>29.849186982769599</v>
      </c>
      <c r="D3473" t="s">
        <v>746</v>
      </c>
      <c r="E3473"/>
      <c r="F3473" t="s">
        <v>230</v>
      </c>
    </row>
    <row r="3474" spans="1:6" x14ac:dyDescent="0.2">
      <c r="A3474">
        <v>79796040</v>
      </c>
      <c r="B3474">
        <v>2018</v>
      </c>
      <c r="C3474">
        <v>27.9302425162521</v>
      </c>
      <c r="D3474" t="s">
        <v>746</v>
      </c>
      <c r="E3474"/>
      <c r="F3474" t="s">
        <v>230</v>
      </c>
    </row>
    <row r="3475" spans="1:6" x14ac:dyDescent="0.2">
      <c r="A3475">
        <v>79796040</v>
      </c>
      <c r="B3475">
        <v>2017</v>
      </c>
      <c r="C3475">
        <v>27.519032691446501</v>
      </c>
      <c r="D3475" t="s">
        <v>746</v>
      </c>
      <c r="E3475"/>
      <c r="F3475" t="s">
        <v>230</v>
      </c>
    </row>
    <row r="3476" spans="1:6" x14ac:dyDescent="0.2">
      <c r="A3476">
        <v>79796040</v>
      </c>
      <c r="B3476">
        <v>2015</v>
      </c>
      <c r="C3476">
        <v>16.243169398907099</v>
      </c>
      <c r="D3476" t="s">
        <v>746</v>
      </c>
      <c r="E3476"/>
      <c r="F3476" t="s">
        <v>230</v>
      </c>
    </row>
    <row r="3477" spans="1:6" x14ac:dyDescent="0.2">
      <c r="A3477">
        <v>79796040</v>
      </c>
      <c r="B3477">
        <v>2013</v>
      </c>
      <c r="C3477">
        <v>29.2207792207792</v>
      </c>
      <c r="D3477" t="s">
        <v>746</v>
      </c>
      <c r="E3477"/>
      <c r="F3477" t="s">
        <v>230</v>
      </c>
    </row>
    <row r="3478" spans="1:6" x14ac:dyDescent="0.2">
      <c r="A3478">
        <v>59669891</v>
      </c>
      <c r="B3478">
        <v>2018</v>
      </c>
      <c r="C3478">
        <v>27.380814473919799</v>
      </c>
      <c r="D3478" t="s">
        <v>908</v>
      </c>
      <c r="E3478" t="s">
        <v>909</v>
      </c>
      <c r="F3478" t="s">
        <v>372</v>
      </c>
    </row>
    <row r="3479" spans="1:6" x14ac:dyDescent="0.2">
      <c r="A3479">
        <v>17971730</v>
      </c>
      <c r="B3479">
        <v>2019</v>
      </c>
      <c r="C3479">
        <v>27.423940540419501</v>
      </c>
      <c r="D3479" t="s">
        <v>561</v>
      </c>
      <c r="E3479" t="s">
        <v>562</v>
      </c>
      <c r="F3479" t="s">
        <v>237</v>
      </c>
    </row>
    <row r="3480" spans="1:6" x14ac:dyDescent="0.2">
      <c r="A3480">
        <v>17971730</v>
      </c>
      <c r="B3480">
        <v>2018</v>
      </c>
      <c r="C3480">
        <v>26.859745416326099</v>
      </c>
      <c r="D3480" t="s">
        <v>561</v>
      </c>
      <c r="E3480" t="s">
        <v>562</v>
      </c>
      <c r="F3480" t="s">
        <v>237</v>
      </c>
    </row>
    <row r="3481" spans="1:6" x14ac:dyDescent="0.2">
      <c r="A3481">
        <v>17971730</v>
      </c>
      <c r="B3481">
        <v>2017</v>
      </c>
      <c r="C3481">
        <v>22.615315718763998</v>
      </c>
      <c r="D3481" t="s">
        <v>561</v>
      </c>
      <c r="E3481" t="s">
        <v>562</v>
      </c>
      <c r="F3481" t="s">
        <v>237</v>
      </c>
    </row>
    <row r="3482" spans="1:6" x14ac:dyDescent="0.2">
      <c r="A3482">
        <v>17971730</v>
      </c>
      <c r="B3482">
        <v>2016</v>
      </c>
      <c r="C3482">
        <v>19.622788382011901</v>
      </c>
      <c r="D3482" t="s">
        <v>561</v>
      </c>
      <c r="E3482" t="s">
        <v>562</v>
      </c>
      <c r="F3482" t="s">
        <v>237</v>
      </c>
    </row>
    <row r="3483" spans="1:6" x14ac:dyDescent="0.2">
      <c r="A3483">
        <v>17971730</v>
      </c>
      <c r="B3483">
        <v>2015</v>
      </c>
      <c r="C3483">
        <v>14.344262295082</v>
      </c>
      <c r="D3483" t="s">
        <v>561</v>
      </c>
      <c r="E3483" t="s">
        <v>562</v>
      </c>
      <c r="F3483" t="s">
        <v>237</v>
      </c>
    </row>
    <row r="3484" spans="1:6" x14ac:dyDescent="0.2">
      <c r="A3484">
        <v>81655804</v>
      </c>
      <c r="B3484">
        <v>2020</v>
      </c>
      <c r="C3484">
        <v>33.555714285714302</v>
      </c>
      <c r="D3484" t="s">
        <v>43</v>
      </c>
      <c r="E3484"/>
      <c r="F3484" t="s">
        <v>44</v>
      </c>
    </row>
    <row r="3485" spans="1:6" x14ac:dyDescent="0.2">
      <c r="A3485">
        <v>81655804</v>
      </c>
      <c r="B3485">
        <v>2019</v>
      </c>
      <c r="C3485">
        <v>61.5</v>
      </c>
      <c r="D3485" t="s">
        <v>43</v>
      </c>
      <c r="E3485"/>
      <c r="F3485" t="s">
        <v>44</v>
      </c>
    </row>
    <row r="3486" spans="1:6" x14ac:dyDescent="0.2">
      <c r="A3486">
        <v>81655804</v>
      </c>
      <c r="B3486">
        <v>2018</v>
      </c>
      <c r="C3486">
        <v>35.089165019605304</v>
      </c>
      <c r="D3486" t="s">
        <v>43</v>
      </c>
      <c r="E3486"/>
      <c r="F3486" t="s">
        <v>44</v>
      </c>
    </row>
    <row r="3487" spans="1:6" x14ac:dyDescent="0.2">
      <c r="A3487">
        <v>58901839</v>
      </c>
      <c r="B3487">
        <v>2020</v>
      </c>
      <c r="C3487">
        <v>15.6510989010989</v>
      </c>
      <c r="D3487" t="s">
        <v>126</v>
      </c>
      <c r="E3487"/>
      <c r="F3487" t="s">
        <v>127</v>
      </c>
    </row>
    <row r="3488" spans="1:6" x14ac:dyDescent="0.2">
      <c r="A3488">
        <v>58901839</v>
      </c>
      <c r="B3488">
        <v>2019</v>
      </c>
      <c r="C3488">
        <v>16.3894013495945</v>
      </c>
      <c r="D3488" t="s">
        <v>126</v>
      </c>
      <c r="E3488"/>
      <c r="F3488" t="s">
        <v>127</v>
      </c>
    </row>
    <row r="3489" spans="1:6" x14ac:dyDescent="0.2">
      <c r="A3489">
        <v>58901839</v>
      </c>
      <c r="B3489">
        <v>2018</v>
      </c>
      <c r="C3489">
        <v>16.687682432812601</v>
      </c>
      <c r="D3489" t="s">
        <v>126</v>
      </c>
      <c r="E3489"/>
      <c r="F3489" t="s">
        <v>127</v>
      </c>
    </row>
    <row r="3490" spans="1:6" x14ac:dyDescent="0.2">
      <c r="A3490">
        <v>58901839</v>
      </c>
      <c r="B3490">
        <v>2017</v>
      </c>
      <c r="C3490">
        <v>14.721380855566199</v>
      </c>
      <c r="D3490" t="s">
        <v>126</v>
      </c>
      <c r="E3490"/>
      <c r="F3490" t="s">
        <v>127</v>
      </c>
    </row>
    <row r="3491" spans="1:6" x14ac:dyDescent="0.2">
      <c r="A3491">
        <v>58901839</v>
      </c>
      <c r="B3491">
        <v>2016</v>
      </c>
      <c r="C3491">
        <v>12.3848663522013</v>
      </c>
      <c r="D3491" t="s">
        <v>126</v>
      </c>
      <c r="E3491"/>
      <c r="F3491" t="s">
        <v>127</v>
      </c>
    </row>
    <row r="3492" spans="1:6" x14ac:dyDescent="0.2">
      <c r="A3492">
        <v>58901839</v>
      </c>
      <c r="B3492">
        <v>2015</v>
      </c>
      <c r="C3492">
        <v>10.608562159657099</v>
      </c>
      <c r="D3492" t="s">
        <v>126</v>
      </c>
      <c r="E3492"/>
      <c r="F3492" t="s">
        <v>127</v>
      </c>
    </row>
    <row r="3493" spans="1:6" x14ac:dyDescent="0.2">
      <c r="A3493">
        <v>58901839</v>
      </c>
      <c r="B3493">
        <v>2014</v>
      </c>
      <c r="C3493">
        <v>13.416563100214701</v>
      </c>
      <c r="D3493" t="s">
        <v>126</v>
      </c>
      <c r="E3493"/>
      <c r="F3493" t="s">
        <v>127</v>
      </c>
    </row>
    <row r="3494" spans="1:6" x14ac:dyDescent="0.2">
      <c r="A3494">
        <v>58901839</v>
      </c>
      <c r="B3494">
        <v>2013</v>
      </c>
      <c r="C3494">
        <v>15.799446069422499</v>
      </c>
      <c r="D3494" t="s">
        <v>126</v>
      </c>
      <c r="E3494"/>
      <c r="F3494" t="s">
        <v>127</v>
      </c>
    </row>
    <row r="3495" spans="1:6" x14ac:dyDescent="0.2">
      <c r="A3495">
        <v>58901839</v>
      </c>
      <c r="B3495">
        <v>2012</v>
      </c>
      <c r="C3495">
        <v>18.565932058931001</v>
      </c>
      <c r="D3495" t="s">
        <v>126</v>
      </c>
      <c r="E3495"/>
      <c r="F3495" t="s">
        <v>127</v>
      </c>
    </row>
    <row r="3496" spans="1:6" x14ac:dyDescent="0.2">
      <c r="A3496">
        <v>93867872</v>
      </c>
      <c r="B3496">
        <v>2019</v>
      </c>
      <c r="C3496">
        <v>69.285714285714306</v>
      </c>
      <c r="D3496" t="s">
        <v>353</v>
      </c>
      <c r="E3496" t="s">
        <v>354</v>
      </c>
      <c r="F3496" t="s">
        <v>355</v>
      </c>
    </row>
    <row r="3497" spans="1:6" x14ac:dyDescent="0.2">
      <c r="A3497">
        <v>93867872</v>
      </c>
      <c r="B3497">
        <v>2018</v>
      </c>
      <c r="C3497">
        <v>37.5555555555556</v>
      </c>
      <c r="D3497" t="s">
        <v>353</v>
      </c>
      <c r="E3497" t="s">
        <v>354</v>
      </c>
      <c r="F3497" t="s">
        <v>355</v>
      </c>
    </row>
    <row r="3498" spans="1:6" x14ac:dyDescent="0.2">
      <c r="A3498">
        <v>26892349</v>
      </c>
      <c r="B3498">
        <v>2020</v>
      </c>
      <c r="C3498">
        <v>19.698460156354201</v>
      </c>
      <c r="D3498" t="s">
        <v>381</v>
      </c>
      <c r="E3498" t="s">
        <v>382</v>
      </c>
      <c r="F3498" t="s">
        <v>383</v>
      </c>
    </row>
    <row r="3499" spans="1:6" x14ac:dyDescent="0.2">
      <c r="A3499">
        <v>26892349</v>
      </c>
      <c r="B3499">
        <v>2019</v>
      </c>
      <c r="C3499">
        <v>18.231946053251399</v>
      </c>
      <c r="D3499" t="s">
        <v>381</v>
      </c>
      <c r="E3499" t="s">
        <v>382</v>
      </c>
      <c r="F3499" t="s">
        <v>383</v>
      </c>
    </row>
    <row r="3500" spans="1:6" x14ac:dyDescent="0.2">
      <c r="A3500">
        <v>26892349</v>
      </c>
      <c r="B3500">
        <v>2018</v>
      </c>
      <c r="C3500">
        <v>29.176209050348302</v>
      </c>
      <c r="D3500" t="s">
        <v>381</v>
      </c>
      <c r="E3500" t="s">
        <v>382</v>
      </c>
      <c r="F3500" t="s">
        <v>383</v>
      </c>
    </row>
    <row r="3501" spans="1:6" x14ac:dyDescent="0.2">
      <c r="A3501">
        <v>26892349</v>
      </c>
      <c r="B3501">
        <v>2017</v>
      </c>
      <c r="C3501">
        <v>56.488036775609103</v>
      </c>
      <c r="D3501" t="s">
        <v>381</v>
      </c>
      <c r="E3501" t="s">
        <v>382</v>
      </c>
      <c r="F3501" t="s">
        <v>383</v>
      </c>
    </row>
    <row r="3502" spans="1:6" x14ac:dyDescent="0.2">
      <c r="A3502">
        <v>26892349</v>
      </c>
      <c r="B3502">
        <v>2016</v>
      </c>
      <c r="C3502">
        <v>84.392828532232699</v>
      </c>
      <c r="D3502" t="s">
        <v>381</v>
      </c>
      <c r="E3502" t="s">
        <v>382</v>
      </c>
      <c r="F3502" t="s">
        <v>383</v>
      </c>
    </row>
    <row r="3503" spans="1:6" x14ac:dyDescent="0.2">
      <c r="A3503">
        <v>26892349</v>
      </c>
      <c r="B3503">
        <v>2015</v>
      </c>
      <c r="C3503">
        <v>64.913478260869596</v>
      </c>
      <c r="D3503" t="s">
        <v>381</v>
      </c>
      <c r="E3503" t="s">
        <v>382</v>
      </c>
      <c r="F3503" t="s">
        <v>383</v>
      </c>
    </row>
    <row r="3504" spans="1:6" x14ac:dyDescent="0.2">
      <c r="A3504">
        <v>26892349</v>
      </c>
      <c r="B3504">
        <v>2014</v>
      </c>
      <c r="C3504">
        <v>55.641199999999998</v>
      </c>
      <c r="D3504" t="s">
        <v>381</v>
      </c>
      <c r="E3504" t="s">
        <v>382</v>
      </c>
      <c r="F3504" t="s">
        <v>383</v>
      </c>
    </row>
    <row r="3505" spans="1:6" x14ac:dyDescent="0.2">
      <c r="A3505">
        <v>26892349</v>
      </c>
      <c r="B3505">
        <v>2013</v>
      </c>
      <c r="C3505">
        <v>49.543255859348101</v>
      </c>
      <c r="D3505" t="s">
        <v>381</v>
      </c>
      <c r="E3505" t="s">
        <v>382</v>
      </c>
      <c r="F3505" t="s">
        <v>383</v>
      </c>
    </row>
    <row r="3506" spans="1:6" x14ac:dyDescent="0.2">
      <c r="A3506">
        <v>26892349</v>
      </c>
      <c r="B3506">
        <v>2012</v>
      </c>
      <c r="C3506">
        <v>37.3978272613288</v>
      </c>
      <c r="D3506" t="s">
        <v>381</v>
      </c>
      <c r="E3506" t="s">
        <v>382</v>
      </c>
      <c r="F3506" t="s">
        <v>383</v>
      </c>
    </row>
    <row r="3507" spans="1:6" x14ac:dyDescent="0.2">
      <c r="A3507">
        <v>26892349</v>
      </c>
      <c r="B3507">
        <v>2011</v>
      </c>
      <c r="C3507">
        <v>32.3333333333333</v>
      </c>
      <c r="D3507" t="s">
        <v>381</v>
      </c>
      <c r="E3507" t="s">
        <v>382</v>
      </c>
      <c r="F3507" t="s">
        <v>383</v>
      </c>
    </row>
    <row r="3508" spans="1:6" x14ac:dyDescent="0.2">
      <c r="A3508">
        <v>26892349</v>
      </c>
      <c r="B3508">
        <v>2010</v>
      </c>
      <c r="C3508">
        <v>23</v>
      </c>
      <c r="D3508" t="s">
        <v>381</v>
      </c>
      <c r="E3508" t="s">
        <v>382</v>
      </c>
      <c r="F3508" t="s">
        <v>383</v>
      </c>
    </row>
    <row r="3509" spans="1:6" x14ac:dyDescent="0.2">
      <c r="A3509">
        <v>22261651</v>
      </c>
      <c r="B3509">
        <v>2019</v>
      </c>
      <c r="C3509">
        <v>73.11</v>
      </c>
      <c r="D3509" t="s">
        <v>843</v>
      </c>
      <c r="E3509" t="s">
        <v>573</v>
      </c>
      <c r="F3509" t="s">
        <v>1126</v>
      </c>
    </row>
    <row r="3510" spans="1:6" x14ac:dyDescent="0.2">
      <c r="A3510">
        <v>22261651</v>
      </c>
      <c r="B3510">
        <v>2018</v>
      </c>
      <c r="C3510">
        <v>81.8</v>
      </c>
      <c r="D3510" t="s">
        <v>843</v>
      </c>
      <c r="E3510" t="s">
        <v>573</v>
      </c>
      <c r="F3510" t="s">
        <v>1126</v>
      </c>
    </row>
    <row r="3511" spans="1:6" x14ac:dyDescent="0.2">
      <c r="A3511">
        <v>22261651</v>
      </c>
      <c r="B3511">
        <v>2017</v>
      </c>
      <c r="C3511">
        <v>69.158000000000001</v>
      </c>
      <c r="D3511" t="s">
        <v>843</v>
      </c>
      <c r="E3511" t="s">
        <v>573</v>
      </c>
      <c r="F3511" t="s">
        <v>1126</v>
      </c>
    </row>
    <row r="3512" spans="1:6" x14ac:dyDescent="0.2">
      <c r="A3512">
        <v>73024010</v>
      </c>
      <c r="B3512">
        <v>2019</v>
      </c>
      <c r="C3512">
        <v>3.8963930532878099</v>
      </c>
      <c r="D3512" t="s">
        <v>947</v>
      </c>
      <c r="E3512" t="s">
        <v>948</v>
      </c>
      <c r="F3512" t="s">
        <v>268</v>
      </c>
    </row>
    <row r="3513" spans="1:6" x14ac:dyDescent="0.2">
      <c r="A3513">
        <v>76612983</v>
      </c>
      <c r="B3513">
        <v>2020</v>
      </c>
      <c r="C3513">
        <v>11.0694164567164</v>
      </c>
      <c r="D3513" t="s">
        <v>1031</v>
      </c>
      <c r="E3513" t="s">
        <v>141</v>
      </c>
      <c r="F3513" t="s">
        <v>137</v>
      </c>
    </row>
    <row r="3514" spans="1:6" x14ac:dyDescent="0.2">
      <c r="A3514">
        <v>76612983</v>
      </c>
      <c r="B3514">
        <v>2019</v>
      </c>
      <c r="C3514">
        <v>8.1441846449542705</v>
      </c>
      <c r="D3514" t="s">
        <v>1031</v>
      </c>
      <c r="E3514" t="s">
        <v>141</v>
      </c>
      <c r="F3514" t="s">
        <v>137</v>
      </c>
    </row>
    <row r="3515" spans="1:6" x14ac:dyDescent="0.2">
      <c r="A3515">
        <v>76612983</v>
      </c>
      <c r="B3515">
        <v>2018</v>
      </c>
      <c r="C3515">
        <v>10.892598237852701</v>
      </c>
      <c r="D3515" t="s">
        <v>1031</v>
      </c>
      <c r="E3515" t="s">
        <v>141</v>
      </c>
      <c r="F3515" t="s">
        <v>137</v>
      </c>
    </row>
    <row r="3516" spans="1:6" x14ac:dyDescent="0.2">
      <c r="A3516">
        <v>76612983</v>
      </c>
      <c r="B3516">
        <v>2017</v>
      </c>
      <c r="C3516">
        <v>23.296628201345001</v>
      </c>
      <c r="D3516" t="s">
        <v>1031</v>
      </c>
      <c r="E3516" t="s">
        <v>141</v>
      </c>
      <c r="F3516" t="s">
        <v>137</v>
      </c>
    </row>
    <row r="3517" spans="1:6" x14ac:dyDescent="0.2">
      <c r="A3517">
        <v>76612983</v>
      </c>
      <c r="B3517">
        <v>2016</v>
      </c>
      <c r="C3517">
        <v>15.537032426806499</v>
      </c>
      <c r="D3517" t="s">
        <v>1031</v>
      </c>
      <c r="E3517" t="s">
        <v>141</v>
      </c>
      <c r="F3517" t="s">
        <v>137</v>
      </c>
    </row>
    <row r="3518" spans="1:6" x14ac:dyDescent="0.2">
      <c r="A3518">
        <v>76612983</v>
      </c>
      <c r="B3518">
        <v>2015</v>
      </c>
      <c r="C3518">
        <v>20.6335481842478</v>
      </c>
      <c r="D3518" t="s">
        <v>1031</v>
      </c>
      <c r="E3518" t="s">
        <v>141</v>
      </c>
      <c r="F3518" t="s">
        <v>137</v>
      </c>
    </row>
    <row r="3519" spans="1:6" x14ac:dyDescent="0.2">
      <c r="A3519">
        <v>76612983</v>
      </c>
      <c r="B3519">
        <v>2014</v>
      </c>
      <c r="C3519">
        <v>32.108208040909197</v>
      </c>
      <c r="D3519" t="s">
        <v>1031</v>
      </c>
      <c r="E3519" t="s">
        <v>141</v>
      </c>
      <c r="F3519" t="s">
        <v>137</v>
      </c>
    </row>
    <row r="3520" spans="1:6" x14ac:dyDescent="0.2">
      <c r="A3520">
        <v>18124717</v>
      </c>
      <c r="B3520">
        <v>2020</v>
      </c>
      <c r="C3520">
        <v>35.115104294057197</v>
      </c>
      <c r="D3520" t="s">
        <v>588</v>
      </c>
      <c r="E3520"/>
      <c r="F3520" t="s">
        <v>198</v>
      </c>
    </row>
    <row r="3521" spans="1:6" x14ac:dyDescent="0.2">
      <c r="A3521">
        <v>18124717</v>
      </c>
      <c r="B3521">
        <v>2019</v>
      </c>
      <c r="C3521">
        <v>33.935511979569398</v>
      </c>
      <c r="D3521" t="s">
        <v>588</v>
      </c>
      <c r="E3521"/>
      <c r="F3521" t="s">
        <v>198</v>
      </c>
    </row>
    <row r="3522" spans="1:6" x14ac:dyDescent="0.2">
      <c r="A3522">
        <v>18124717</v>
      </c>
      <c r="B3522">
        <v>2018</v>
      </c>
      <c r="C3522">
        <v>34.284660218912201</v>
      </c>
      <c r="D3522" t="s">
        <v>588</v>
      </c>
      <c r="E3522"/>
      <c r="F3522" t="s">
        <v>198</v>
      </c>
    </row>
    <row r="3523" spans="1:6" x14ac:dyDescent="0.2">
      <c r="A3523">
        <v>18124717</v>
      </c>
      <c r="B3523">
        <v>2017</v>
      </c>
      <c r="C3523">
        <v>24.669147736924199</v>
      </c>
      <c r="D3523" t="s">
        <v>588</v>
      </c>
      <c r="E3523"/>
      <c r="F3523" t="s">
        <v>198</v>
      </c>
    </row>
    <row r="3524" spans="1:6" x14ac:dyDescent="0.2">
      <c r="A3524">
        <v>18124717</v>
      </c>
      <c r="B3524">
        <v>2016</v>
      </c>
      <c r="C3524">
        <v>22.781204407949801</v>
      </c>
      <c r="D3524" t="s">
        <v>588</v>
      </c>
      <c r="E3524"/>
      <c r="F3524" t="s">
        <v>198</v>
      </c>
    </row>
    <row r="3525" spans="1:6" x14ac:dyDescent="0.2">
      <c r="A3525">
        <v>18124717</v>
      </c>
      <c r="B3525">
        <v>2015</v>
      </c>
      <c r="C3525">
        <v>20.397692774742001</v>
      </c>
      <c r="D3525" t="s">
        <v>588</v>
      </c>
      <c r="E3525"/>
      <c r="F3525" t="s">
        <v>198</v>
      </c>
    </row>
    <row r="3526" spans="1:6" x14ac:dyDescent="0.2">
      <c r="A3526">
        <v>18124717</v>
      </c>
      <c r="B3526">
        <v>2014</v>
      </c>
      <c r="C3526">
        <v>24.946704767088502</v>
      </c>
      <c r="D3526" t="s">
        <v>588</v>
      </c>
      <c r="E3526"/>
      <c r="F3526" t="s">
        <v>198</v>
      </c>
    </row>
    <row r="3527" spans="1:6" x14ac:dyDescent="0.2">
      <c r="A3527">
        <v>18124717</v>
      </c>
      <c r="B3527">
        <v>2013</v>
      </c>
      <c r="C3527">
        <v>23.030303030302999</v>
      </c>
      <c r="D3527" t="s">
        <v>588</v>
      </c>
      <c r="E3527"/>
      <c r="F3527" t="s">
        <v>198</v>
      </c>
    </row>
    <row r="3528" spans="1:6" x14ac:dyDescent="0.2">
      <c r="A3528">
        <v>18124717</v>
      </c>
      <c r="B3528">
        <v>2012</v>
      </c>
      <c r="C3528">
        <v>21.331569664903</v>
      </c>
      <c r="D3528" t="s">
        <v>588</v>
      </c>
      <c r="E3528"/>
      <c r="F3528" t="s">
        <v>198</v>
      </c>
    </row>
    <row r="3529" spans="1:6" x14ac:dyDescent="0.2">
      <c r="A3529">
        <v>18124717</v>
      </c>
      <c r="B3529">
        <v>2011</v>
      </c>
      <c r="C3529">
        <v>32.789855072463801</v>
      </c>
      <c r="D3529" t="s">
        <v>588</v>
      </c>
      <c r="E3529"/>
      <c r="F3529" t="s">
        <v>198</v>
      </c>
    </row>
    <row r="3530" spans="1:6" x14ac:dyDescent="0.2">
      <c r="A3530">
        <v>18124717</v>
      </c>
      <c r="B3530">
        <v>2010</v>
      </c>
      <c r="C3530">
        <v>20.987654320987598</v>
      </c>
      <c r="D3530" t="s">
        <v>588</v>
      </c>
      <c r="E3530"/>
      <c r="F3530" t="s">
        <v>198</v>
      </c>
    </row>
    <row r="3531" spans="1:6" x14ac:dyDescent="0.2">
      <c r="A3531">
        <v>42330535</v>
      </c>
      <c r="B3531">
        <v>2020</v>
      </c>
      <c r="C3531">
        <v>10.958722292149201</v>
      </c>
      <c r="D3531" t="s">
        <v>971</v>
      </c>
      <c r="E3531"/>
      <c r="F3531" t="s">
        <v>137</v>
      </c>
    </row>
    <row r="3532" spans="1:6" x14ac:dyDescent="0.2">
      <c r="A3532">
        <v>42330535</v>
      </c>
      <c r="B3532">
        <v>2019</v>
      </c>
      <c r="C3532">
        <v>9.9806184374439599</v>
      </c>
      <c r="D3532" t="s">
        <v>971</v>
      </c>
      <c r="E3532"/>
      <c r="F3532" t="s">
        <v>137</v>
      </c>
    </row>
    <row r="3533" spans="1:6" x14ac:dyDescent="0.2">
      <c r="A3533">
        <v>42330535</v>
      </c>
      <c r="B3533">
        <v>2018</v>
      </c>
      <c r="C3533">
        <v>14.2095327789963</v>
      </c>
      <c r="D3533" t="s">
        <v>971</v>
      </c>
      <c r="E3533"/>
      <c r="F3533" t="s">
        <v>137</v>
      </c>
    </row>
    <row r="3534" spans="1:6" x14ac:dyDescent="0.2">
      <c r="A3534">
        <v>42330535</v>
      </c>
      <c r="B3534">
        <v>2016</v>
      </c>
      <c r="C3534">
        <v>23.011059433102801</v>
      </c>
      <c r="D3534" t="s">
        <v>971</v>
      </c>
      <c r="E3534"/>
      <c r="F3534" t="s">
        <v>137</v>
      </c>
    </row>
    <row r="3535" spans="1:6" x14ac:dyDescent="0.2">
      <c r="A3535">
        <v>42330535</v>
      </c>
      <c r="B3535">
        <v>2015</v>
      </c>
      <c r="C3535">
        <v>21.959990567520801</v>
      </c>
      <c r="D3535" t="s">
        <v>971</v>
      </c>
      <c r="E3535"/>
      <c r="F3535" t="s">
        <v>137</v>
      </c>
    </row>
    <row r="3536" spans="1:6" x14ac:dyDescent="0.2">
      <c r="A3536">
        <v>42330535</v>
      </c>
      <c r="B3536">
        <v>2014</v>
      </c>
      <c r="C3536">
        <v>15.3499766511364</v>
      </c>
      <c r="D3536" t="s">
        <v>971</v>
      </c>
      <c r="E3536"/>
      <c r="F3536" t="s">
        <v>137</v>
      </c>
    </row>
    <row r="3537" spans="1:6" x14ac:dyDescent="0.2">
      <c r="A3537">
        <v>42330535</v>
      </c>
      <c r="B3537">
        <v>2013</v>
      </c>
      <c r="C3537">
        <v>18.289085545722699</v>
      </c>
      <c r="D3537" t="s">
        <v>971</v>
      </c>
      <c r="E3537"/>
      <c r="F3537" t="s">
        <v>137</v>
      </c>
    </row>
    <row r="3538" spans="1:6" x14ac:dyDescent="0.2">
      <c r="A3538">
        <v>42330535</v>
      </c>
      <c r="B3538">
        <v>2012</v>
      </c>
      <c r="C3538">
        <v>69.339734471313406</v>
      </c>
      <c r="D3538" t="s">
        <v>971</v>
      </c>
      <c r="E3538"/>
      <c r="F3538" t="s">
        <v>137</v>
      </c>
    </row>
    <row r="3539" spans="1:6" x14ac:dyDescent="0.2">
      <c r="A3539">
        <v>34732870</v>
      </c>
      <c r="B3539">
        <v>2019</v>
      </c>
      <c r="C3539">
        <v>59.6207284026991</v>
      </c>
      <c r="D3539" t="s">
        <v>671</v>
      </c>
      <c r="E3539" t="s">
        <v>32</v>
      </c>
      <c r="F3539" t="s">
        <v>33</v>
      </c>
    </row>
    <row r="3540" spans="1:6" x14ac:dyDescent="0.2">
      <c r="A3540">
        <v>34732870</v>
      </c>
      <c r="B3540">
        <v>2018</v>
      </c>
      <c r="C3540">
        <v>56.952925860101097</v>
      </c>
      <c r="D3540" t="s">
        <v>671</v>
      </c>
      <c r="E3540" t="s">
        <v>32</v>
      </c>
      <c r="F3540" t="s">
        <v>33</v>
      </c>
    </row>
    <row r="3541" spans="1:6" x14ac:dyDescent="0.2">
      <c r="A3541">
        <v>55454780</v>
      </c>
      <c r="B3541">
        <v>2020</v>
      </c>
      <c r="C3541">
        <v>21.913770040312698</v>
      </c>
      <c r="D3541" t="s">
        <v>904</v>
      </c>
      <c r="E3541" t="s">
        <v>905</v>
      </c>
      <c r="F3541" t="s">
        <v>183</v>
      </c>
    </row>
    <row r="3542" spans="1:6" x14ac:dyDescent="0.2">
      <c r="A3542">
        <v>55454780</v>
      </c>
      <c r="B3542">
        <v>2019</v>
      </c>
      <c r="C3542">
        <v>23.412249309230301</v>
      </c>
      <c r="D3542" t="s">
        <v>904</v>
      </c>
      <c r="E3542" t="s">
        <v>905</v>
      </c>
      <c r="F3542" t="s">
        <v>183</v>
      </c>
    </row>
    <row r="3543" spans="1:6" x14ac:dyDescent="0.2">
      <c r="A3543">
        <v>55454780</v>
      </c>
      <c r="B3543">
        <v>2018</v>
      </c>
      <c r="C3543">
        <v>24.143171513919999</v>
      </c>
      <c r="D3543" t="s">
        <v>904</v>
      </c>
      <c r="E3543" t="s">
        <v>905</v>
      </c>
      <c r="F3543" t="s">
        <v>183</v>
      </c>
    </row>
    <row r="3544" spans="1:6" x14ac:dyDescent="0.2">
      <c r="A3544">
        <v>55454780</v>
      </c>
      <c r="B3544">
        <v>2016</v>
      </c>
      <c r="C3544">
        <v>23.810935778761401</v>
      </c>
      <c r="D3544" t="s">
        <v>904</v>
      </c>
      <c r="E3544" t="s">
        <v>905</v>
      </c>
      <c r="F3544" t="s">
        <v>183</v>
      </c>
    </row>
    <row r="3545" spans="1:6" x14ac:dyDescent="0.2">
      <c r="A3545">
        <v>55454780</v>
      </c>
      <c r="B3545">
        <v>2015</v>
      </c>
      <c r="C3545">
        <v>28.628722862356501</v>
      </c>
      <c r="D3545" t="s">
        <v>904</v>
      </c>
      <c r="E3545" t="s">
        <v>905</v>
      </c>
      <c r="F3545" t="s">
        <v>183</v>
      </c>
    </row>
    <row r="3546" spans="1:6" x14ac:dyDescent="0.2">
      <c r="A3546">
        <v>82876887</v>
      </c>
      <c r="B3546">
        <v>2020</v>
      </c>
      <c r="C3546">
        <v>21.163960171162401</v>
      </c>
      <c r="D3546" t="s">
        <v>601</v>
      </c>
      <c r="E3546" t="s">
        <v>602</v>
      </c>
      <c r="F3546" t="s">
        <v>603</v>
      </c>
    </row>
    <row r="3547" spans="1:6" x14ac:dyDescent="0.2">
      <c r="A3547">
        <v>82876887</v>
      </c>
      <c r="B3547">
        <v>2019</v>
      </c>
      <c r="C3547">
        <v>21.725114024824901</v>
      </c>
      <c r="D3547" t="s">
        <v>601</v>
      </c>
      <c r="E3547" t="s">
        <v>602</v>
      </c>
      <c r="F3547" t="s">
        <v>603</v>
      </c>
    </row>
    <row r="3548" spans="1:6" x14ac:dyDescent="0.2">
      <c r="A3548">
        <v>82876887</v>
      </c>
      <c r="B3548">
        <v>2018</v>
      </c>
      <c r="C3548">
        <v>24.5472963471701</v>
      </c>
      <c r="D3548" t="s">
        <v>601</v>
      </c>
      <c r="E3548" t="s">
        <v>602</v>
      </c>
      <c r="F3548" t="s">
        <v>603</v>
      </c>
    </row>
    <row r="3549" spans="1:6" x14ac:dyDescent="0.2">
      <c r="A3549">
        <v>82876887</v>
      </c>
      <c r="B3549">
        <v>2017</v>
      </c>
      <c r="C3549">
        <v>18.331085757883901</v>
      </c>
      <c r="D3549" t="s">
        <v>601</v>
      </c>
      <c r="E3549" t="s">
        <v>602</v>
      </c>
      <c r="F3549" t="s">
        <v>603</v>
      </c>
    </row>
    <row r="3550" spans="1:6" x14ac:dyDescent="0.2">
      <c r="A3550">
        <v>82876887</v>
      </c>
      <c r="B3550">
        <v>2016</v>
      </c>
      <c r="C3550">
        <v>16.8911671800718</v>
      </c>
      <c r="D3550" t="s">
        <v>601</v>
      </c>
      <c r="E3550" t="s">
        <v>602</v>
      </c>
      <c r="F3550" t="s">
        <v>603</v>
      </c>
    </row>
    <row r="3551" spans="1:6" x14ac:dyDescent="0.2">
      <c r="A3551">
        <v>82876887</v>
      </c>
      <c r="B3551">
        <v>2015</v>
      </c>
      <c r="C3551">
        <v>15.863820771891699</v>
      </c>
      <c r="D3551" t="s">
        <v>601</v>
      </c>
      <c r="E3551" t="s">
        <v>602</v>
      </c>
      <c r="F3551" t="s">
        <v>603</v>
      </c>
    </row>
    <row r="3552" spans="1:6" x14ac:dyDescent="0.2">
      <c r="A3552">
        <v>82876887</v>
      </c>
      <c r="B3552">
        <v>2014</v>
      </c>
      <c r="C3552">
        <v>24.886661806585501</v>
      </c>
      <c r="D3552" t="s">
        <v>601</v>
      </c>
      <c r="E3552" t="s">
        <v>602</v>
      </c>
      <c r="F3552" t="s">
        <v>603</v>
      </c>
    </row>
    <row r="3553" spans="1:6" x14ac:dyDescent="0.2">
      <c r="A3553">
        <v>82876887</v>
      </c>
      <c r="B3553">
        <v>2013</v>
      </c>
      <c r="C3553">
        <v>22.4740495296723</v>
      </c>
      <c r="D3553" t="s">
        <v>601</v>
      </c>
      <c r="E3553" t="s">
        <v>602</v>
      </c>
      <c r="F3553" t="s">
        <v>603</v>
      </c>
    </row>
    <row r="3554" spans="1:6" x14ac:dyDescent="0.2">
      <c r="A3554">
        <v>82876887</v>
      </c>
      <c r="B3554">
        <v>2012</v>
      </c>
      <c r="C3554">
        <v>24.351196258873799</v>
      </c>
      <c r="D3554" t="s">
        <v>601</v>
      </c>
      <c r="E3554" t="s">
        <v>602</v>
      </c>
      <c r="F3554" t="s">
        <v>603</v>
      </c>
    </row>
    <row r="3555" spans="1:6" x14ac:dyDescent="0.2">
      <c r="A3555">
        <v>82876887</v>
      </c>
      <c r="B3555">
        <v>2011</v>
      </c>
      <c r="C3555">
        <v>46.887617267579103</v>
      </c>
      <c r="D3555" t="s">
        <v>601</v>
      </c>
      <c r="E3555" t="s">
        <v>602</v>
      </c>
      <c r="F3555" t="s">
        <v>603</v>
      </c>
    </row>
    <row r="3556" spans="1:6" x14ac:dyDescent="0.2">
      <c r="A3556">
        <v>94644372</v>
      </c>
      <c r="B3556">
        <v>2020</v>
      </c>
      <c r="C3556">
        <v>41.909047057410703</v>
      </c>
      <c r="D3556" t="s">
        <v>184</v>
      </c>
      <c r="E3556"/>
      <c r="F3556" t="s">
        <v>185</v>
      </c>
    </row>
    <row r="3557" spans="1:6" x14ac:dyDescent="0.2">
      <c r="A3557">
        <v>94644372</v>
      </c>
      <c r="B3557">
        <v>2019</v>
      </c>
      <c r="C3557">
        <v>43.104608775354599</v>
      </c>
      <c r="D3557" t="s">
        <v>184</v>
      </c>
      <c r="E3557"/>
      <c r="F3557" t="s">
        <v>185</v>
      </c>
    </row>
    <row r="3558" spans="1:6" x14ac:dyDescent="0.2">
      <c r="A3558">
        <v>94644372</v>
      </c>
      <c r="B3558">
        <v>2018</v>
      </c>
      <c r="C3558">
        <v>42.373939708337197</v>
      </c>
      <c r="D3558" t="s">
        <v>184</v>
      </c>
      <c r="E3558"/>
      <c r="F3558" t="s">
        <v>185</v>
      </c>
    </row>
    <row r="3559" spans="1:6" x14ac:dyDescent="0.2">
      <c r="A3559">
        <v>94644372</v>
      </c>
      <c r="B3559">
        <v>2017</v>
      </c>
      <c r="C3559">
        <v>35.525972161969101</v>
      </c>
      <c r="D3559" t="s">
        <v>184</v>
      </c>
      <c r="E3559"/>
      <c r="F3559" t="s">
        <v>185</v>
      </c>
    </row>
    <row r="3560" spans="1:6" x14ac:dyDescent="0.2">
      <c r="A3560">
        <v>94644372</v>
      </c>
      <c r="B3560">
        <v>2016</v>
      </c>
      <c r="C3560">
        <v>36.251998820113997</v>
      </c>
      <c r="D3560" t="s">
        <v>184</v>
      </c>
      <c r="E3560"/>
      <c r="F3560" t="s">
        <v>185</v>
      </c>
    </row>
    <row r="3561" spans="1:6" x14ac:dyDescent="0.2">
      <c r="A3561">
        <v>94644372</v>
      </c>
      <c r="B3561">
        <v>2015</v>
      </c>
      <c r="C3561">
        <v>33.009514271407099</v>
      </c>
      <c r="D3561" t="s">
        <v>184</v>
      </c>
      <c r="E3561"/>
      <c r="F3561" t="s">
        <v>185</v>
      </c>
    </row>
    <row r="3562" spans="1:6" x14ac:dyDescent="0.2">
      <c r="A3562">
        <v>94644372</v>
      </c>
      <c r="B3562">
        <v>2014</v>
      </c>
      <c r="C3562">
        <v>38.620195636878698</v>
      </c>
      <c r="D3562" t="s">
        <v>184</v>
      </c>
      <c r="E3562"/>
      <c r="F3562" t="s">
        <v>185</v>
      </c>
    </row>
    <row r="3563" spans="1:6" x14ac:dyDescent="0.2">
      <c r="A3563">
        <v>94644372</v>
      </c>
      <c r="B3563">
        <v>2013</v>
      </c>
      <c r="C3563">
        <v>35.370124053313098</v>
      </c>
      <c r="D3563" t="s">
        <v>184</v>
      </c>
      <c r="E3563"/>
      <c r="F3563" t="s">
        <v>185</v>
      </c>
    </row>
    <row r="3564" spans="1:6" x14ac:dyDescent="0.2">
      <c r="A3564">
        <v>94644372</v>
      </c>
      <c r="B3564">
        <v>2012</v>
      </c>
      <c r="C3564">
        <v>48.128342245989302</v>
      </c>
      <c r="D3564" t="s">
        <v>184</v>
      </c>
      <c r="E3564"/>
      <c r="F3564" t="s">
        <v>185</v>
      </c>
    </row>
    <row r="3565" spans="1:6" x14ac:dyDescent="0.2">
      <c r="A3565">
        <v>94644372</v>
      </c>
      <c r="B3565">
        <v>2011</v>
      </c>
      <c r="C3565">
        <v>33.3726357160403</v>
      </c>
      <c r="D3565" t="s">
        <v>184</v>
      </c>
      <c r="E3565"/>
      <c r="F3565" t="s">
        <v>185</v>
      </c>
    </row>
    <row r="3566" spans="1:6" x14ac:dyDescent="0.2">
      <c r="A3566">
        <v>94644372</v>
      </c>
      <c r="B3566">
        <v>2010</v>
      </c>
      <c r="C3566">
        <v>26.687138992469102</v>
      </c>
      <c r="D3566" t="s">
        <v>184</v>
      </c>
      <c r="E3566"/>
      <c r="F3566" t="s">
        <v>185</v>
      </c>
    </row>
    <row r="3567" spans="1:6" x14ac:dyDescent="0.2">
      <c r="A3567">
        <v>32308071</v>
      </c>
      <c r="B3567">
        <v>2019</v>
      </c>
      <c r="C3567">
        <v>65.900000000000006</v>
      </c>
      <c r="D3567" t="s">
        <v>824</v>
      </c>
      <c r="E3567" t="s">
        <v>681</v>
      </c>
      <c r="F3567" t="s">
        <v>1126</v>
      </c>
    </row>
    <row r="3568" spans="1:6" x14ac:dyDescent="0.2">
      <c r="A3568">
        <v>32308071</v>
      </c>
      <c r="B3568">
        <v>2018</v>
      </c>
      <c r="C3568">
        <v>65</v>
      </c>
      <c r="D3568" t="s">
        <v>824</v>
      </c>
      <c r="E3568" t="s">
        <v>681</v>
      </c>
      <c r="F3568" t="s">
        <v>1126</v>
      </c>
    </row>
    <row r="3569" spans="1:6" x14ac:dyDescent="0.2">
      <c r="A3569">
        <v>32308071</v>
      </c>
      <c r="B3569">
        <v>2017</v>
      </c>
      <c r="C3569">
        <v>69.373750000000001</v>
      </c>
      <c r="D3569" t="s">
        <v>824</v>
      </c>
      <c r="E3569" t="s">
        <v>681</v>
      </c>
      <c r="F3569" t="s">
        <v>1126</v>
      </c>
    </row>
    <row r="3570" spans="1:6" x14ac:dyDescent="0.2">
      <c r="A3570">
        <v>32308071</v>
      </c>
      <c r="B3570">
        <v>2016</v>
      </c>
      <c r="C3570">
        <v>49</v>
      </c>
      <c r="D3570" t="s">
        <v>824</v>
      </c>
      <c r="E3570" t="s">
        <v>681</v>
      </c>
      <c r="F3570" t="s">
        <v>1126</v>
      </c>
    </row>
    <row r="3571" spans="1:6" x14ac:dyDescent="0.2">
      <c r="A3571">
        <v>38316300</v>
      </c>
      <c r="B3571">
        <v>2019</v>
      </c>
      <c r="C3571">
        <v>7.1909739404195401</v>
      </c>
      <c r="D3571" t="s">
        <v>154</v>
      </c>
      <c r="E3571" t="s">
        <v>103</v>
      </c>
      <c r="F3571" t="s">
        <v>94</v>
      </c>
    </row>
    <row r="3572" spans="1:6" x14ac:dyDescent="0.2">
      <c r="A3572">
        <v>14247708</v>
      </c>
      <c r="B3572">
        <v>2020</v>
      </c>
      <c r="C3572">
        <v>6.3239934774746001</v>
      </c>
      <c r="D3572" t="s">
        <v>124</v>
      </c>
      <c r="E3572" t="s">
        <v>125</v>
      </c>
      <c r="F3572" t="s">
        <v>94</v>
      </c>
    </row>
    <row r="3573" spans="1:6" x14ac:dyDescent="0.2">
      <c r="A3573">
        <v>14247708</v>
      </c>
      <c r="B3573">
        <v>2019</v>
      </c>
      <c r="C3573">
        <v>5.6509600522942902</v>
      </c>
      <c r="D3573" t="s">
        <v>124</v>
      </c>
      <c r="E3573" t="s">
        <v>125</v>
      </c>
      <c r="F3573" t="s">
        <v>94</v>
      </c>
    </row>
    <row r="3574" spans="1:6" x14ac:dyDescent="0.2">
      <c r="A3574">
        <v>14247708</v>
      </c>
      <c r="B3574">
        <v>2018</v>
      </c>
      <c r="C3574">
        <v>6.2210315544859203</v>
      </c>
      <c r="D3574" t="s">
        <v>124</v>
      </c>
      <c r="E3574" t="s">
        <v>125</v>
      </c>
      <c r="F3574" t="s">
        <v>94</v>
      </c>
    </row>
    <row r="3575" spans="1:6" x14ac:dyDescent="0.2">
      <c r="A3575">
        <v>14247708</v>
      </c>
      <c r="B3575">
        <v>2013</v>
      </c>
      <c r="C3575">
        <v>13.5841170323929</v>
      </c>
      <c r="D3575" t="s">
        <v>124</v>
      </c>
      <c r="E3575" t="s">
        <v>125</v>
      </c>
      <c r="F3575" t="s">
        <v>94</v>
      </c>
    </row>
    <row r="3576" spans="1:6" x14ac:dyDescent="0.2">
      <c r="A3576">
        <v>38029780</v>
      </c>
      <c r="B3576">
        <v>2020</v>
      </c>
      <c r="C3576">
        <v>52.469688348370099</v>
      </c>
      <c r="D3576" t="s">
        <v>31</v>
      </c>
      <c r="E3576" t="s">
        <v>32</v>
      </c>
      <c r="F3576" t="s">
        <v>33</v>
      </c>
    </row>
    <row r="3577" spans="1:6" x14ac:dyDescent="0.2">
      <c r="A3577">
        <v>38029780</v>
      </c>
      <c r="B3577">
        <v>2019</v>
      </c>
      <c r="C3577">
        <v>48.423889372393504</v>
      </c>
      <c r="D3577" t="s">
        <v>31</v>
      </c>
      <c r="E3577" t="s">
        <v>32</v>
      </c>
      <c r="F3577" t="s">
        <v>33</v>
      </c>
    </row>
    <row r="3578" spans="1:6" x14ac:dyDescent="0.2">
      <c r="A3578">
        <v>38029780</v>
      </c>
      <c r="B3578">
        <v>2018</v>
      </c>
      <c r="C3578">
        <v>51.682153402355603</v>
      </c>
      <c r="D3578" t="s">
        <v>31</v>
      </c>
      <c r="E3578" t="s">
        <v>32</v>
      </c>
      <c r="F3578" t="s">
        <v>33</v>
      </c>
    </row>
    <row r="3579" spans="1:6" x14ac:dyDescent="0.2">
      <c r="A3579">
        <v>38029780</v>
      </c>
      <c r="B3579">
        <v>2017</v>
      </c>
      <c r="C3579">
        <v>46.309772425098302</v>
      </c>
      <c r="D3579" t="s">
        <v>31</v>
      </c>
      <c r="E3579" t="s">
        <v>32</v>
      </c>
      <c r="F3579" t="s">
        <v>33</v>
      </c>
    </row>
    <row r="3580" spans="1:6" x14ac:dyDescent="0.2">
      <c r="A3580">
        <v>38029780</v>
      </c>
      <c r="B3580">
        <v>2015</v>
      </c>
      <c r="C3580">
        <v>43.104173309948997</v>
      </c>
      <c r="D3580" t="s">
        <v>31</v>
      </c>
      <c r="E3580" t="s">
        <v>32</v>
      </c>
      <c r="F3580" t="s">
        <v>33</v>
      </c>
    </row>
    <row r="3581" spans="1:6" x14ac:dyDescent="0.2">
      <c r="A3581">
        <v>38029780</v>
      </c>
      <c r="B3581">
        <v>2014</v>
      </c>
      <c r="C3581">
        <v>42.771865978748203</v>
      </c>
      <c r="D3581" t="s">
        <v>31</v>
      </c>
      <c r="E3581" t="s">
        <v>32</v>
      </c>
      <c r="F3581" t="s">
        <v>33</v>
      </c>
    </row>
    <row r="3582" spans="1:6" x14ac:dyDescent="0.2">
      <c r="A3582">
        <v>38029780</v>
      </c>
      <c r="B3582">
        <v>2013</v>
      </c>
      <c r="C3582">
        <v>48.499336870026497</v>
      </c>
      <c r="D3582" t="s">
        <v>31</v>
      </c>
      <c r="E3582" t="s">
        <v>32</v>
      </c>
      <c r="F3582" t="s">
        <v>33</v>
      </c>
    </row>
    <row r="3583" spans="1:6" x14ac:dyDescent="0.2">
      <c r="A3583">
        <v>38029780</v>
      </c>
      <c r="B3583">
        <v>2012</v>
      </c>
      <c r="C3583">
        <v>47.286537216828499</v>
      </c>
      <c r="D3583" t="s">
        <v>31</v>
      </c>
      <c r="E3583" t="s">
        <v>32</v>
      </c>
      <c r="F3583" t="s">
        <v>33</v>
      </c>
    </row>
    <row r="3584" spans="1:6" x14ac:dyDescent="0.2">
      <c r="A3584">
        <v>38029780</v>
      </c>
      <c r="B3584">
        <v>2011</v>
      </c>
      <c r="C3584">
        <v>50.013745704467397</v>
      </c>
      <c r="D3584" t="s">
        <v>31</v>
      </c>
      <c r="E3584" t="s">
        <v>32</v>
      </c>
      <c r="F3584" t="s">
        <v>33</v>
      </c>
    </row>
    <row r="3585" spans="1:6" x14ac:dyDescent="0.2">
      <c r="A3585">
        <v>38029780</v>
      </c>
      <c r="B3585">
        <v>2010</v>
      </c>
      <c r="C3585">
        <v>38.461538461538503</v>
      </c>
      <c r="D3585" t="s">
        <v>31</v>
      </c>
      <c r="E3585" t="s">
        <v>32</v>
      </c>
      <c r="F3585" t="s">
        <v>33</v>
      </c>
    </row>
    <row r="3586" spans="1:6" x14ac:dyDescent="0.2">
      <c r="A3586">
        <v>84225059</v>
      </c>
      <c r="B3586">
        <v>2020</v>
      </c>
      <c r="C3586">
        <v>28.327844419158598</v>
      </c>
      <c r="D3586" t="s">
        <v>489</v>
      </c>
      <c r="E3586"/>
      <c r="F3586" t="s">
        <v>28</v>
      </c>
    </row>
    <row r="3587" spans="1:6" x14ac:dyDescent="0.2">
      <c r="A3587">
        <v>84225059</v>
      </c>
      <c r="B3587">
        <v>2019</v>
      </c>
      <c r="C3587">
        <v>30.781041288887899</v>
      </c>
      <c r="D3587" t="s">
        <v>489</v>
      </c>
      <c r="E3587"/>
      <c r="F3587" t="s">
        <v>28</v>
      </c>
    </row>
    <row r="3588" spans="1:6" x14ac:dyDescent="0.2">
      <c r="A3588">
        <v>84225059</v>
      </c>
      <c r="B3588">
        <v>2018</v>
      </c>
      <c r="C3588">
        <v>28.935953687792999</v>
      </c>
      <c r="D3588" t="s">
        <v>489</v>
      </c>
      <c r="E3588"/>
      <c r="F3588" t="s">
        <v>28</v>
      </c>
    </row>
    <row r="3589" spans="1:6" x14ac:dyDescent="0.2">
      <c r="A3589">
        <v>84225059</v>
      </c>
      <c r="B3589">
        <v>2017</v>
      </c>
      <c r="C3589">
        <v>29.231974921630101</v>
      </c>
      <c r="D3589" t="s">
        <v>489</v>
      </c>
      <c r="E3589"/>
      <c r="F3589" t="s">
        <v>28</v>
      </c>
    </row>
    <row r="3590" spans="1:6" x14ac:dyDescent="0.2">
      <c r="A3590">
        <v>84225059</v>
      </c>
      <c r="B3590">
        <v>2016</v>
      </c>
      <c r="C3590">
        <v>29.626518333522501</v>
      </c>
      <c r="D3590" t="s">
        <v>489</v>
      </c>
      <c r="E3590"/>
      <c r="F3590" t="s">
        <v>28</v>
      </c>
    </row>
    <row r="3591" spans="1:6" x14ac:dyDescent="0.2">
      <c r="A3591">
        <v>84225059</v>
      </c>
      <c r="B3591">
        <v>2015</v>
      </c>
      <c r="C3591">
        <v>30.710382513661202</v>
      </c>
      <c r="D3591" t="s">
        <v>489</v>
      </c>
      <c r="E3591"/>
      <c r="F3591" t="s">
        <v>28</v>
      </c>
    </row>
    <row r="3592" spans="1:6" x14ac:dyDescent="0.2">
      <c r="A3592">
        <v>84225059</v>
      </c>
      <c r="B3592">
        <v>2014</v>
      </c>
      <c r="C3592">
        <v>43.089762779516498</v>
      </c>
      <c r="D3592" t="s">
        <v>489</v>
      </c>
      <c r="E3592"/>
      <c r="F3592" t="s">
        <v>28</v>
      </c>
    </row>
    <row r="3593" spans="1:6" x14ac:dyDescent="0.2">
      <c r="A3593">
        <v>61427750</v>
      </c>
      <c r="B3593">
        <v>2016</v>
      </c>
      <c r="C3593">
        <v>28.6638665001703</v>
      </c>
      <c r="D3593" t="s">
        <v>364</v>
      </c>
      <c r="E3593" t="s">
        <v>365</v>
      </c>
      <c r="F3593" t="s">
        <v>49</v>
      </c>
    </row>
    <row r="3594" spans="1:6" x14ac:dyDescent="0.2">
      <c r="A3594">
        <v>61427750</v>
      </c>
      <c r="B3594">
        <v>2014</v>
      </c>
      <c r="C3594">
        <v>36.286116024856</v>
      </c>
      <c r="D3594" t="s">
        <v>364</v>
      </c>
      <c r="E3594" t="s">
        <v>365</v>
      </c>
      <c r="F3594" t="s">
        <v>49</v>
      </c>
    </row>
    <row r="3595" spans="1:6" x14ac:dyDescent="0.2">
      <c r="A3595">
        <v>69201312</v>
      </c>
      <c r="B3595">
        <v>2019</v>
      </c>
      <c r="C3595">
        <v>29.102957308200299</v>
      </c>
      <c r="D3595" t="s">
        <v>458</v>
      </c>
      <c r="E3595" t="s">
        <v>88</v>
      </c>
      <c r="F3595" t="s">
        <v>49</v>
      </c>
    </row>
    <row r="3596" spans="1:6" x14ac:dyDescent="0.2">
      <c r="A3596">
        <v>69201312</v>
      </c>
      <c r="B3596">
        <v>2016</v>
      </c>
      <c r="C3596">
        <v>37.7500283800658</v>
      </c>
      <c r="D3596" t="s">
        <v>458</v>
      </c>
      <c r="E3596" t="s">
        <v>88</v>
      </c>
      <c r="F3596" t="s">
        <v>49</v>
      </c>
    </row>
    <row r="3597" spans="1:6" x14ac:dyDescent="0.2">
      <c r="A3597">
        <v>56532400</v>
      </c>
      <c r="B3597">
        <v>2019</v>
      </c>
      <c r="C3597">
        <v>31.117777429537298</v>
      </c>
      <c r="D3597" t="s">
        <v>73</v>
      </c>
      <c r="E3597" t="s">
        <v>74</v>
      </c>
      <c r="F3597" t="s">
        <v>49</v>
      </c>
    </row>
    <row r="3598" spans="1:6" x14ac:dyDescent="0.2">
      <c r="A3598">
        <v>56532400</v>
      </c>
      <c r="B3598">
        <v>2018</v>
      </c>
      <c r="C3598">
        <v>34.411615866713397</v>
      </c>
      <c r="D3598" t="s">
        <v>73</v>
      </c>
      <c r="E3598" t="s">
        <v>74</v>
      </c>
      <c r="F3598" t="s">
        <v>49</v>
      </c>
    </row>
    <row r="3599" spans="1:6" x14ac:dyDescent="0.2">
      <c r="A3599">
        <v>56532400</v>
      </c>
      <c r="B3599">
        <v>2017</v>
      </c>
      <c r="C3599">
        <v>27.7653381101657</v>
      </c>
      <c r="D3599" t="s">
        <v>73</v>
      </c>
      <c r="E3599" t="s">
        <v>74</v>
      </c>
      <c r="F3599" t="s">
        <v>49</v>
      </c>
    </row>
    <row r="3600" spans="1:6" x14ac:dyDescent="0.2">
      <c r="A3600">
        <v>56532400</v>
      </c>
      <c r="B3600">
        <v>2015</v>
      </c>
      <c r="C3600">
        <v>28.661202185792401</v>
      </c>
      <c r="D3600" t="s">
        <v>73</v>
      </c>
      <c r="E3600" t="s">
        <v>74</v>
      </c>
      <c r="F3600" t="s">
        <v>49</v>
      </c>
    </row>
    <row r="3601" spans="1:6" x14ac:dyDescent="0.2">
      <c r="A3601">
        <v>56532400</v>
      </c>
      <c r="B3601">
        <v>2014</v>
      </c>
      <c r="C3601">
        <v>34.018233773302498</v>
      </c>
      <c r="D3601" t="s">
        <v>73</v>
      </c>
      <c r="E3601" t="s">
        <v>74</v>
      </c>
      <c r="F3601" t="s">
        <v>49</v>
      </c>
    </row>
    <row r="3602" spans="1:6" x14ac:dyDescent="0.2">
      <c r="A3602">
        <v>56532400</v>
      </c>
      <c r="B3602">
        <v>2012</v>
      </c>
      <c r="C3602">
        <v>32.098765432098801</v>
      </c>
      <c r="D3602" t="s">
        <v>73</v>
      </c>
      <c r="E3602" t="s">
        <v>74</v>
      </c>
      <c r="F3602" t="s">
        <v>49</v>
      </c>
    </row>
    <row r="3603" spans="1:6" x14ac:dyDescent="0.2">
      <c r="A3603">
        <v>91446465</v>
      </c>
      <c r="B3603">
        <v>2016</v>
      </c>
      <c r="C3603">
        <v>27.0622678180431</v>
      </c>
      <c r="D3603" t="s">
        <v>379</v>
      </c>
      <c r="E3603"/>
      <c r="F3603" t="s">
        <v>380</v>
      </c>
    </row>
    <row r="3604" spans="1:6" x14ac:dyDescent="0.2">
      <c r="A3604">
        <v>91446465</v>
      </c>
      <c r="B3604">
        <v>2014</v>
      </c>
      <c r="C3604">
        <v>26.229508196721302</v>
      </c>
      <c r="D3604" t="s">
        <v>379</v>
      </c>
      <c r="E3604"/>
      <c r="F3604" t="s">
        <v>380</v>
      </c>
    </row>
    <row r="3605" spans="1:6" x14ac:dyDescent="0.2">
      <c r="A3605">
        <v>91446465</v>
      </c>
      <c r="B3605">
        <v>2013</v>
      </c>
      <c r="C3605">
        <v>21.1640211640212</v>
      </c>
      <c r="D3605" t="s">
        <v>379</v>
      </c>
      <c r="E3605"/>
      <c r="F3605" t="s">
        <v>380</v>
      </c>
    </row>
    <row r="3606" spans="1:6" x14ac:dyDescent="0.2">
      <c r="A3606">
        <v>58843872</v>
      </c>
      <c r="B3606">
        <v>2019</v>
      </c>
      <c r="C3606">
        <v>58.083934352493202</v>
      </c>
      <c r="D3606" t="s">
        <v>641</v>
      </c>
      <c r="E3606" t="s">
        <v>642</v>
      </c>
      <c r="F3606" t="s">
        <v>78</v>
      </c>
    </row>
    <row r="3607" spans="1:6" x14ac:dyDescent="0.2">
      <c r="A3607">
        <v>58843872</v>
      </c>
      <c r="B3607">
        <v>2018</v>
      </c>
      <c r="C3607">
        <v>75.670457842908306</v>
      </c>
      <c r="D3607" t="s">
        <v>641</v>
      </c>
      <c r="E3607" t="s">
        <v>642</v>
      </c>
      <c r="F3607" t="s">
        <v>78</v>
      </c>
    </row>
    <row r="3608" spans="1:6" x14ac:dyDescent="0.2">
      <c r="A3608">
        <v>58843872</v>
      </c>
      <c r="B3608">
        <v>2017</v>
      </c>
      <c r="C3608">
        <v>46.070205580202199</v>
      </c>
      <c r="D3608" t="s">
        <v>641</v>
      </c>
      <c r="E3608" t="s">
        <v>642</v>
      </c>
      <c r="F3608" t="s">
        <v>78</v>
      </c>
    </row>
    <row r="3609" spans="1:6" x14ac:dyDescent="0.2">
      <c r="A3609">
        <v>58843872</v>
      </c>
      <c r="B3609">
        <v>2015</v>
      </c>
      <c r="C3609">
        <v>44.888255557572201</v>
      </c>
      <c r="D3609" t="s">
        <v>641</v>
      </c>
      <c r="E3609" t="s">
        <v>642</v>
      </c>
      <c r="F3609" t="s">
        <v>78</v>
      </c>
    </row>
    <row r="3610" spans="1:6" x14ac:dyDescent="0.2">
      <c r="A3610">
        <v>58843872</v>
      </c>
      <c r="B3610">
        <v>2014</v>
      </c>
      <c r="C3610">
        <v>49.951531260020403</v>
      </c>
      <c r="D3610" t="s">
        <v>641</v>
      </c>
      <c r="E3610" t="s">
        <v>642</v>
      </c>
      <c r="F3610" t="s">
        <v>78</v>
      </c>
    </row>
    <row r="3611" spans="1:6" x14ac:dyDescent="0.2">
      <c r="A3611">
        <v>58843872</v>
      </c>
      <c r="B3611">
        <v>2013</v>
      </c>
      <c r="C3611">
        <v>55.171574592358198</v>
      </c>
      <c r="D3611" t="s">
        <v>641</v>
      </c>
      <c r="E3611" t="s">
        <v>642</v>
      </c>
      <c r="F3611" t="s">
        <v>78</v>
      </c>
    </row>
    <row r="3612" spans="1:6" x14ac:dyDescent="0.2">
      <c r="A3612">
        <v>58843872</v>
      </c>
      <c r="B3612">
        <v>2012</v>
      </c>
      <c r="C3612">
        <v>54.203243564945701</v>
      </c>
      <c r="D3612" t="s">
        <v>641</v>
      </c>
      <c r="E3612" t="s">
        <v>642</v>
      </c>
      <c r="F3612" t="s">
        <v>78</v>
      </c>
    </row>
    <row r="3613" spans="1:6" x14ac:dyDescent="0.2">
      <c r="A3613">
        <v>58843872</v>
      </c>
      <c r="B3613">
        <v>2011</v>
      </c>
      <c r="C3613">
        <v>46.641791044776099</v>
      </c>
      <c r="D3613" t="s">
        <v>641</v>
      </c>
      <c r="E3613" t="s">
        <v>642</v>
      </c>
      <c r="F3613" t="s">
        <v>78</v>
      </c>
    </row>
    <row r="3614" spans="1:6" x14ac:dyDescent="0.2">
      <c r="A3614">
        <v>24420990</v>
      </c>
      <c r="B3614">
        <v>2020</v>
      </c>
      <c r="C3614">
        <v>70.571428571428598</v>
      </c>
      <c r="D3614" t="s">
        <v>596</v>
      </c>
      <c r="E3614" t="s">
        <v>573</v>
      </c>
      <c r="F3614" t="s">
        <v>1126</v>
      </c>
    </row>
    <row r="3615" spans="1:6" x14ac:dyDescent="0.2">
      <c r="A3615">
        <v>24420990</v>
      </c>
      <c r="B3615">
        <v>2019</v>
      </c>
      <c r="C3615">
        <v>71.465999999999994</v>
      </c>
      <c r="D3615" t="s">
        <v>596</v>
      </c>
      <c r="E3615" t="s">
        <v>573</v>
      </c>
      <c r="F3615" t="s">
        <v>1126</v>
      </c>
    </row>
    <row r="3616" spans="1:6" x14ac:dyDescent="0.2">
      <c r="A3616">
        <v>24420990</v>
      </c>
      <c r="B3616">
        <v>2018</v>
      </c>
      <c r="C3616">
        <v>71.650666666666694</v>
      </c>
      <c r="D3616" t="s">
        <v>596</v>
      </c>
      <c r="E3616" t="s">
        <v>573</v>
      </c>
      <c r="F3616" t="s">
        <v>1126</v>
      </c>
    </row>
    <row r="3617" spans="1:6" x14ac:dyDescent="0.2">
      <c r="A3617">
        <v>24420990</v>
      </c>
      <c r="B3617">
        <v>2017</v>
      </c>
      <c r="C3617">
        <v>54.305</v>
      </c>
      <c r="D3617" t="s">
        <v>596</v>
      </c>
      <c r="E3617" t="s">
        <v>573</v>
      </c>
      <c r="F3617" t="s">
        <v>1126</v>
      </c>
    </row>
    <row r="3618" spans="1:6" x14ac:dyDescent="0.2">
      <c r="A3618">
        <v>24420990</v>
      </c>
      <c r="B3618">
        <v>2016</v>
      </c>
      <c r="C3618">
        <v>49.478260869565197</v>
      </c>
      <c r="D3618" t="s">
        <v>596</v>
      </c>
      <c r="E3618" t="s">
        <v>573</v>
      </c>
      <c r="F3618" t="s">
        <v>1126</v>
      </c>
    </row>
    <row r="3619" spans="1:6" x14ac:dyDescent="0.2">
      <c r="A3619">
        <v>24420990</v>
      </c>
      <c r="B3619">
        <v>2015</v>
      </c>
      <c r="C3619">
        <v>41.361818181818201</v>
      </c>
      <c r="D3619" t="s">
        <v>596</v>
      </c>
      <c r="E3619" t="s">
        <v>573</v>
      </c>
      <c r="F3619" t="s">
        <v>1126</v>
      </c>
    </row>
    <row r="3620" spans="1:6" x14ac:dyDescent="0.2">
      <c r="A3620">
        <v>46536828</v>
      </c>
      <c r="B3620">
        <v>2020</v>
      </c>
      <c r="C3620">
        <v>69</v>
      </c>
      <c r="D3620" t="s">
        <v>794</v>
      </c>
      <c r="E3620" t="s">
        <v>687</v>
      </c>
      <c r="F3620" t="s">
        <v>1126</v>
      </c>
    </row>
    <row r="3621" spans="1:6" x14ac:dyDescent="0.2">
      <c r="A3621">
        <v>46536828</v>
      </c>
      <c r="B3621">
        <v>2019</v>
      </c>
      <c r="C3621">
        <v>66.272727272727295</v>
      </c>
      <c r="D3621" t="s">
        <v>794</v>
      </c>
      <c r="E3621" t="s">
        <v>687</v>
      </c>
      <c r="F3621" t="s">
        <v>1126</v>
      </c>
    </row>
    <row r="3622" spans="1:6" x14ac:dyDescent="0.2">
      <c r="A3622">
        <v>46536828</v>
      </c>
      <c r="B3622">
        <v>2018</v>
      </c>
      <c r="C3622">
        <v>73.533500000000004</v>
      </c>
      <c r="D3622" t="s">
        <v>794</v>
      </c>
      <c r="E3622" t="s">
        <v>687</v>
      </c>
      <c r="F3622" t="s">
        <v>1126</v>
      </c>
    </row>
    <row r="3623" spans="1:6" x14ac:dyDescent="0.2">
      <c r="A3623">
        <v>46536828</v>
      </c>
      <c r="B3623">
        <v>2017</v>
      </c>
      <c r="C3623">
        <v>77.5555555555556</v>
      </c>
      <c r="D3623" t="s">
        <v>794</v>
      </c>
      <c r="E3623" t="s">
        <v>687</v>
      </c>
      <c r="F3623" t="s">
        <v>1126</v>
      </c>
    </row>
    <row r="3624" spans="1:6" x14ac:dyDescent="0.2">
      <c r="A3624">
        <v>46536828</v>
      </c>
      <c r="B3624">
        <v>2016</v>
      </c>
      <c r="C3624">
        <v>59.453636363636399</v>
      </c>
      <c r="D3624" t="s">
        <v>794</v>
      </c>
      <c r="E3624" t="s">
        <v>687</v>
      </c>
      <c r="F3624" t="s">
        <v>1126</v>
      </c>
    </row>
    <row r="3625" spans="1:6" x14ac:dyDescent="0.2">
      <c r="A3625">
        <v>46536828</v>
      </c>
      <c r="B3625">
        <v>2015</v>
      </c>
      <c r="C3625">
        <v>47</v>
      </c>
      <c r="D3625" t="s">
        <v>794</v>
      </c>
      <c r="E3625" t="s">
        <v>687</v>
      </c>
      <c r="F3625" t="s">
        <v>1126</v>
      </c>
    </row>
    <row r="3626" spans="1:6" x14ac:dyDescent="0.2">
      <c r="A3626">
        <v>22544920</v>
      </c>
      <c r="B3626">
        <v>2020</v>
      </c>
      <c r="C3626">
        <v>15.196334319355</v>
      </c>
      <c r="D3626" t="s">
        <v>376</v>
      </c>
      <c r="E3626" t="s">
        <v>377</v>
      </c>
      <c r="F3626" t="s">
        <v>378</v>
      </c>
    </row>
    <row r="3627" spans="1:6" x14ac:dyDescent="0.2">
      <c r="A3627">
        <v>22544920</v>
      </c>
      <c r="B3627">
        <v>2019</v>
      </c>
      <c r="C3627">
        <v>18.504605235037801</v>
      </c>
      <c r="D3627" t="s">
        <v>376</v>
      </c>
      <c r="E3627" t="s">
        <v>377</v>
      </c>
      <c r="F3627" t="s">
        <v>378</v>
      </c>
    </row>
    <row r="3628" spans="1:6" x14ac:dyDescent="0.2">
      <c r="A3628">
        <v>22544920</v>
      </c>
      <c r="B3628">
        <v>2018</v>
      </c>
      <c r="C3628">
        <v>20.902119225267001</v>
      </c>
      <c r="D3628" t="s">
        <v>376</v>
      </c>
      <c r="E3628" t="s">
        <v>377</v>
      </c>
      <c r="F3628" t="s">
        <v>378</v>
      </c>
    </row>
    <row r="3629" spans="1:6" x14ac:dyDescent="0.2">
      <c r="A3629">
        <v>22544920</v>
      </c>
      <c r="B3629">
        <v>2017</v>
      </c>
      <c r="C3629">
        <v>18.419489007724302</v>
      </c>
      <c r="D3629" t="s">
        <v>376</v>
      </c>
      <c r="E3629" t="s">
        <v>377</v>
      </c>
      <c r="F3629" t="s">
        <v>378</v>
      </c>
    </row>
    <row r="3630" spans="1:6" x14ac:dyDescent="0.2">
      <c r="A3630">
        <v>22544920</v>
      </c>
      <c r="B3630">
        <v>2016</v>
      </c>
      <c r="C3630">
        <v>19.748906756947399</v>
      </c>
      <c r="D3630" t="s">
        <v>376</v>
      </c>
      <c r="E3630" t="s">
        <v>377</v>
      </c>
      <c r="F3630" t="s">
        <v>378</v>
      </c>
    </row>
    <row r="3631" spans="1:6" x14ac:dyDescent="0.2">
      <c r="A3631">
        <v>22544920</v>
      </c>
      <c r="B3631">
        <v>2015</v>
      </c>
      <c r="C3631">
        <v>22.093554776778898</v>
      </c>
      <c r="D3631" t="s">
        <v>376</v>
      </c>
      <c r="E3631" t="s">
        <v>377</v>
      </c>
      <c r="F3631" t="s">
        <v>378</v>
      </c>
    </row>
    <row r="3632" spans="1:6" x14ac:dyDescent="0.2">
      <c r="A3632">
        <v>22544920</v>
      </c>
      <c r="B3632">
        <v>2014</v>
      </c>
      <c r="C3632">
        <v>23.502963417126502</v>
      </c>
      <c r="D3632" t="s">
        <v>376</v>
      </c>
      <c r="E3632" t="s">
        <v>377</v>
      </c>
      <c r="F3632" t="s">
        <v>378</v>
      </c>
    </row>
    <row r="3633" spans="1:6" x14ac:dyDescent="0.2">
      <c r="A3633">
        <v>22544920</v>
      </c>
      <c r="B3633">
        <v>2013</v>
      </c>
      <c r="C3633">
        <v>22.967791411042899</v>
      </c>
      <c r="D3633" t="s">
        <v>376</v>
      </c>
      <c r="E3633" t="s">
        <v>377</v>
      </c>
      <c r="F3633" t="s">
        <v>378</v>
      </c>
    </row>
    <row r="3634" spans="1:6" x14ac:dyDescent="0.2">
      <c r="A3634">
        <v>22544920</v>
      </c>
      <c r="B3634">
        <v>2012</v>
      </c>
      <c r="C3634">
        <v>24.970363553040698</v>
      </c>
      <c r="D3634" t="s">
        <v>376</v>
      </c>
      <c r="E3634" t="s">
        <v>377</v>
      </c>
      <c r="F3634" t="s">
        <v>378</v>
      </c>
    </row>
    <row r="3635" spans="1:6" x14ac:dyDescent="0.2">
      <c r="A3635">
        <v>89537874</v>
      </c>
      <c r="B3635">
        <v>2020</v>
      </c>
      <c r="C3635">
        <v>22.991090813138701</v>
      </c>
      <c r="D3635" t="s">
        <v>722</v>
      </c>
      <c r="E3635"/>
      <c r="F3635" t="s">
        <v>230</v>
      </c>
    </row>
    <row r="3636" spans="1:6" x14ac:dyDescent="0.2">
      <c r="A3636">
        <v>89537874</v>
      </c>
      <c r="B3636">
        <v>2018</v>
      </c>
      <c r="C3636">
        <v>26.692914699454501</v>
      </c>
      <c r="D3636" t="s">
        <v>722</v>
      </c>
      <c r="E3636"/>
      <c r="F3636" t="s">
        <v>230</v>
      </c>
    </row>
    <row r="3637" spans="1:6" x14ac:dyDescent="0.2">
      <c r="A3637">
        <v>89537874</v>
      </c>
      <c r="B3637">
        <v>2017</v>
      </c>
      <c r="C3637">
        <v>20.331392745185799</v>
      </c>
      <c r="D3637" t="s">
        <v>722</v>
      </c>
      <c r="E3637"/>
      <c r="F3637" t="s">
        <v>230</v>
      </c>
    </row>
    <row r="3638" spans="1:6" x14ac:dyDescent="0.2">
      <c r="A3638">
        <v>89537874</v>
      </c>
      <c r="B3638">
        <v>2016</v>
      </c>
      <c r="C3638">
        <v>21.875354750823</v>
      </c>
      <c r="D3638" t="s">
        <v>722</v>
      </c>
      <c r="E3638"/>
      <c r="F3638" t="s">
        <v>230</v>
      </c>
    </row>
    <row r="3639" spans="1:6" x14ac:dyDescent="0.2">
      <c r="A3639">
        <v>89537874</v>
      </c>
      <c r="B3639">
        <v>2015</v>
      </c>
      <c r="C3639">
        <v>23.743169398907099</v>
      </c>
      <c r="D3639" t="s">
        <v>722</v>
      </c>
      <c r="E3639"/>
      <c r="F3639" t="s">
        <v>230</v>
      </c>
    </row>
    <row r="3640" spans="1:6" x14ac:dyDescent="0.2">
      <c r="A3640">
        <v>37488494</v>
      </c>
      <c r="B3640">
        <v>2020</v>
      </c>
      <c r="C3640">
        <v>7.2272359884991397</v>
      </c>
      <c r="D3640" t="s">
        <v>461</v>
      </c>
      <c r="E3640" t="s">
        <v>462</v>
      </c>
      <c r="F3640" t="s">
        <v>94</v>
      </c>
    </row>
    <row r="3641" spans="1:6" x14ac:dyDescent="0.2">
      <c r="A3641">
        <v>37488494</v>
      </c>
      <c r="B3641">
        <v>2019</v>
      </c>
      <c r="C3641">
        <v>6.7563336571180699</v>
      </c>
      <c r="D3641" t="s">
        <v>461</v>
      </c>
      <c r="E3641" t="s">
        <v>462</v>
      </c>
      <c r="F3641" t="s">
        <v>94</v>
      </c>
    </row>
    <row r="3642" spans="1:6" x14ac:dyDescent="0.2">
      <c r="A3642">
        <v>37488494</v>
      </c>
      <c r="B3642">
        <v>2018</v>
      </c>
      <c r="C3642">
        <v>7.7448700918221096</v>
      </c>
      <c r="D3642" t="s">
        <v>461</v>
      </c>
      <c r="E3642" t="s">
        <v>462</v>
      </c>
      <c r="F3642" t="s">
        <v>94</v>
      </c>
    </row>
    <row r="3643" spans="1:6" x14ac:dyDescent="0.2">
      <c r="A3643">
        <v>89908871</v>
      </c>
      <c r="B3643">
        <v>2020</v>
      </c>
      <c r="C3643">
        <v>5.9751803126480398</v>
      </c>
      <c r="D3643" t="s">
        <v>110</v>
      </c>
      <c r="E3643" t="s">
        <v>111</v>
      </c>
      <c r="F3643" t="s">
        <v>94</v>
      </c>
    </row>
    <row r="3644" spans="1:6" x14ac:dyDescent="0.2">
      <c r="A3644">
        <v>89908871</v>
      </c>
      <c r="B3644">
        <v>2019</v>
      </c>
      <c r="C3644">
        <v>6.2341058070765003</v>
      </c>
      <c r="D3644" t="s">
        <v>110</v>
      </c>
      <c r="E3644" t="s">
        <v>111</v>
      </c>
      <c r="F3644" t="s">
        <v>94</v>
      </c>
    </row>
    <row r="3645" spans="1:6" x14ac:dyDescent="0.2">
      <c r="A3645">
        <v>89908871</v>
      </c>
      <c r="B3645">
        <v>2018</v>
      </c>
      <c r="C3645">
        <v>5.51488163434919</v>
      </c>
      <c r="D3645" t="s">
        <v>110</v>
      </c>
      <c r="E3645" t="s">
        <v>111</v>
      </c>
      <c r="F3645" t="s">
        <v>94</v>
      </c>
    </row>
    <row r="3646" spans="1:6" x14ac:dyDescent="0.2">
      <c r="A3646">
        <v>92283610</v>
      </c>
      <c r="B3646">
        <v>2019</v>
      </c>
      <c r="C3646">
        <v>16.1795793144077</v>
      </c>
      <c r="D3646" t="s">
        <v>612</v>
      </c>
      <c r="E3646"/>
      <c r="F3646" t="s">
        <v>613</v>
      </c>
    </row>
    <row r="3647" spans="1:6" x14ac:dyDescent="0.2">
      <c r="A3647">
        <v>92283610</v>
      </c>
      <c r="B3647">
        <v>2017</v>
      </c>
      <c r="C3647">
        <v>13.4864444732696</v>
      </c>
      <c r="D3647" t="s">
        <v>612</v>
      </c>
      <c r="E3647"/>
      <c r="F3647" t="s">
        <v>613</v>
      </c>
    </row>
    <row r="3648" spans="1:6" x14ac:dyDescent="0.2">
      <c r="A3648">
        <v>92283610</v>
      </c>
      <c r="B3648">
        <v>2015</v>
      </c>
      <c r="C3648">
        <v>30.247866066965599</v>
      </c>
      <c r="D3648" t="s">
        <v>612</v>
      </c>
      <c r="E3648"/>
      <c r="F3648" t="s">
        <v>613</v>
      </c>
    </row>
    <row r="3649" spans="1:6" x14ac:dyDescent="0.2">
      <c r="A3649">
        <v>92283610</v>
      </c>
      <c r="B3649">
        <v>2013</v>
      </c>
      <c r="C3649">
        <v>36.385161135657199</v>
      </c>
      <c r="D3649" t="s">
        <v>612</v>
      </c>
      <c r="E3649"/>
      <c r="F3649" t="s">
        <v>613</v>
      </c>
    </row>
    <row r="3650" spans="1:6" x14ac:dyDescent="0.2">
      <c r="A3650">
        <v>27540951</v>
      </c>
      <c r="B3650">
        <v>2019</v>
      </c>
      <c r="C3650">
        <v>32.975325541399002</v>
      </c>
      <c r="D3650" t="s">
        <v>631</v>
      </c>
      <c r="E3650" t="s">
        <v>632</v>
      </c>
      <c r="F3650" t="s">
        <v>227</v>
      </c>
    </row>
    <row r="3651" spans="1:6" x14ac:dyDescent="0.2">
      <c r="A3651">
        <v>27540951</v>
      </c>
      <c r="B3651">
        <v>2018</v>
      </c>
      <c r="C3651">
        <v>33.517086832449202</v>
      </c>
      <c r="D3651" t="s">
        <v>631</v>
      </c>
      <c r="E3651" t="s">
        <v>632</v>
      </c>
      <c r="F3651" t="s">
        <v>227</v>
      </c>
    </row>
    <row r="3652" spans="1:6" x14ac:dyDescent="0.2">
      <c r="A3652">
        <v>27540951</v>
      </c>
      <c r="B3652">
        <v>2017</v>
      </c>
      <c r="C3652">
        <v>36.208231751039698</v>
      </c>
      <c r="D3652" t="s">
        <v>631</v>
      </c>
      <c r="E3652" t="s">
        <v>632</v>
      </c>
      <c r="F3652" t="s">
        <v>227</v>
      </c>
    </row>
    <row r="3653" spans="1:6" x14ac:dyDescent="0.2">
      <c r="A3653">
        <v>45202167</v>
      </c>
      <c r="B3653">
        <v>2020</v>
      </c>
      <c r="C3653">
        <v>8.1014845163415696</v>
      </c>
      <c r="D3653" t="s">
        <v>553</v>
      </c>
      <c r="E3653" t="s">
        <v>136</v>
      </c>
      <c r="F3653" t="s">
        <v>137</v>
      </c>
    </row>
    <row r="3654" spans="1:6" x14ac:dyDescent="0.2">
      <c r="A3654">
        <v>45202167</v>
      </c>
      <c r="B3654">
        <v>2019</v>
      </c>
      <c r="C3654">
        <v>7.4460494585445502</v>
      </c>
      <c r="D3654" t="s">
        <v>553</v>
      </c>
      <c r="E3654" t="s">
        <v>136</v>
      </c>
      <c r="F3654" t="s">
        <v>137</v>
      </c>
    </row>
    <row r="3655" spans="1:6" x14ac:dyDescent="0.2">
      <c r="A3655">
        <v>45202167</v>
      </c>
      <c r="B3655">
        <v>2018</v>
      </c>
      <c r="C3655">
        <v>6.7726598675704599</v>
      </c>
      <c r="D3655" t="s">
        <v>553</v>
      </c>
      <c r="E3655" t="s">
        <v>136</v>
      </c>
      <c r="F3655" t="s">
        <v>137</v>
      </c>
    </row>
    <row r="3656" spans="1:6" x14ac:dyDescent="0.2">
      <c r="A3656">
        <v>45202167</v>
      </c>
      <c r="B3656">
        <v>2016</v>
      </c>
      <c r="C3656">
        <v>10.6646297223897</v>
      </c>
      <c r="D3656" t="s">
        <v>553</v>
      </c>
      <c r="E3656" t="s">
        <v>136</v>
      </c>
      <c r="F3656" t="s">
        <v>137</v>
      </c>
    </row>
    <row r="3657" spans="1:6" x14ac:dyDescent="0.2">
      <c r="A3657">
        <v>45202167</v>
      </c>
      <c r="B3657">
        <v>2015</v>
      </c>
      <c r="C3657">
        <v>16.035214588901098</v>
      </c>
      <c r="D3657" t="s">
        <v>553</v>
      </c>
      <c r="E3657" t="s">
        <v>136</v>
      </c>
      <c r="F3657" t="s">
        <v>137</v>
      </c>
    </row>
    <row r="3658" spans="1:6" x14ac:dyDescent="0.2">
      <c r="A3658">
        <v>45202167</v>
      </c>
      <c r="B3658">
        <v>2014</v>
      </c>
      <c r="C3658">
        <v>19.433915393181898</v>
      </c>
      <c r="D3658" t="s">
        <v>553</v>
      </c>
      <c r="E3658" t="s">
        <v>136</v>
      </c>
      <c r="F3658" t="s">
        <v>137</v>
      </c>
    </row>
    <row r="3659" spans="1:6" x14ac:dyDescent="0.2">
      <c r="A3659">
        <v>45202167</v>
      </c>
      <c r="B3659">
        <v>2013</v>
      </c>
      <c r="C3659">
        <v>57.227138643067903</v>
      </c>
      <c r="D3659" t="s">
        <v>553</v>
      </c>
      <c r="E3659" t="s">
        <v>136</v>
      </c>
      <c r="F3659" t="s">
        <v>137</v>
      </c>
    </row>
    <row r="3660" spans="1:6" x14ac:dyDescent="0.2">
      <c r="A3660">
        <v>47478668</v>
      </c>
      <c r="B3660">
        <v>2020</v>
      </c>
      <c r="C3660">
        <v>46.264003411365699</v>
      </c>
      <c r="D3660" t="s">
        <v>510</v>
      </c>
      <c r="E3660" t="s">
        <v>511</v>
      </c>
      <c r="F3660" t="s">
        <v>191</v>
      </c>
    </row>
    <row r="3661" spans="1:6" x14ac:dyDescent="0.2">
      <c r="A3661">
        <v>47478668</v>
      </c>
      <c r="B3661">
        <v>2019</v>
      </c>
      <c r="C3661">
        <v>36.938368891177298</v>
      </c>
      <c r="D3661" t="s">
        <v>510</v>
      </c>
      <c r="E3661" t="s">
        <v>511</v>
      </c>
      <c r="F3661" t="s">
        <v>191</v>
      </c>
    </row>
    <row r="3662" spans="1:6" x14ac:dyDescent="0.2">
      <c r="A3662">
        <v>47478668</v>
      </c>
      <c r="B3662">
        <v>2018</v>
      </c>
      <c r="C3662">
        <v>47.588461987621201</v>
      </c>
      <c r="D3662" t="s">
        <v>510</v>
      </c>
      <c r="E3662" t="s">
        <v>511</v>
      </c>
      <c r="F3662" t="s">
        <v>191</v>
      </c>
    </row>
    <row r="3663" spans="1:6" x14ac:dyDescent="0.2">
      <c r="A3663">
        <v>47478668</v>
      </c>
      <c r="B3663">
        <v>2017</v>
      </c>
      <c r="C3663">
        <v>40.8643081056874</v>
      </c>
      <c r="D3663" t="s">
        <v>510</v>
      </c>
      <c r="E3663" t="s">
        <v>511</v>
      </c>
      <c r="F3663" t="s">
        <v>191</v>
      </c>
    </row>
    <row r="3664" spans="1:6" x14ac:dyDescent="0.2">
      <c r="A3664">
        <v>47478668</v>
      </c>
      <c r="B3664">
        <v>2016</v>
      </c>
      <c r="C3664">
        <v>37.056257399088601</v>
      </c>
      <c r="D3664" t="s">
        <v>510</v>
      </c>
      <c r="E3664" t="s">
        <v>511</v>
      </c>
      <c r="F3664" t="s">
        <v>191</v>
      </c>
    </row>
    <row r="3665" spans="1:6" x14ac:dyDescent="0.2">
      <c r="A3665">
        <v>47478668</v>
      </c>
      <c r="B3665">
        <v>2015</v>
      </c>
      <c r="C3665">
        <v>36.612021857923501</v>
      </c>
      <c r="D3665" t="s">
        <v>510</v>
      </c>
      <c r="E3665" t="s">
        <v>511</v>
      </c>
      <c r="F3665" t="s">
        <v>191</v>
      </c>
    </row>
    <row r="3666" spans="1:6" x14ac:dyDescent="0.2">
      <c r="A3666">
        <v>47478668</v>
      </c>
      <c r="B3666">
        <v>2013</v>
      </c>
      <c r="C3666">
        <v>45.454545454545503</v>
      </c>
      <c r="D3666" t="s">
        <v>510</v>
      </c>
      <c r="E3666" t="s">
        <v>511</v>
      </c>
      <c r="F3666" t="s">
        <v>191</v>
      </c>
    </row>
    <row r="3667" spans="1:6" x14ac:dyDescent="0.2">
      <c r="A3667">
        <v>47478668</v>
      </c>
      <c r="B3667">
        <v>2012</v>
      </c>
      <c r="C3667">
        <v>57.613168724279802</v>
      </c>
      <c r="D3667" t="s">
        <v>510</v>
      </c>
      <c r="E3667" t="s">
        <v>511</v>
      </c>
      <c r="F3667" t="s">
        <v>191</v>
      </c>
    </row>
    <row r="3668" spans="1:6" x14ac:dyDescent="0.2">
      <c r="A3668">
        <v>47478668</v>
      </c>
      <c r="B3668">
        <v>2011</v>
      </c>
      <c r="C3668">
        <v>41.545893719806799</v>
      </c>
      <c r="D3668" t="s">
        <v>510</v>
      </c>
      <c r="E3668" t="s">
        <v>511</v>
      </c>
      <c r="F3668" t="s">
        <v>191</v>
      </c>
    </row>
    <row r="3669" spans="1:6" x14ac:dyDescent="0.2">
      <c r="A3669">
        <v>74662618</v>
      </c>
      <c r="B3669">
        <v>2015</v>
      </c>
      <c r="C3669">
        <v>41.262063312572202</v>
      </c>
      <c r="D3669" t="s">
        <v>206</v>
      </c>
      <c r="E3669" t="s">
        <v>176</v>
      </c>
      <c r="F3669" t="s">
        <v>177</v>
      </c>
    </row>
    <row r="3670" spans="1:6" x14ac:dyDescent="0.2">
      <c r="A3670">
        <v>83023189</v>
      </c>
      <c r="B3670">
        <v>2016</v>
      </c>
      <c r="C3670">
        <v>23.8392553070723</v>
      </c>
      <c r="D3670" t="s">
        <v>625</v>
      </c>
      <c r="E3670"/>
      <c r="F3670" t="s">
        <v>626</v>
      </c>
    </row>
    <row r="3671" spans="1:6" x14ac:dyDescent="0.2">
      <c r="A3671">
        <v>69544151</v>
      </c>
      <c r="B3671">
        <v>2020</v>
      </c>
      <c r="C3671">
        <v>59.412331745849997</v>
      </c>
      <c r="D3671" t="s">
        <v>627</v>
      </c>
      <c r="E3671" t="s">
        <v>298</v>
      </c>
      <c r="F3671" t="s">
        <v>33</v>
      </c>
    </row>
    <row r="3672" spans="1:6" x14ac:dyDescent="0.2">
      <c r="A3672">
        <v>46859172</v>
      </c>
      <c r="B3672">
        <v>2019</v>
      </c>
      <c r="C3672">
        <v>59.8888888888889</v>
      </c>
      <c r="D3672" t="s">
        <v>627</v>
      </c>
      <c r="E3672" t="s">
        <v>445</v>
      </c>
      <c r="F3672" t="s">
        <v>1126</v>
      </c>
    </row>
    <row r="3673" spans="1:6" x14ac:dyDescent="0.2">
      <c r="A3673">
        <v>69544151</v>
      </c>
      <c r="B3673">
        <v>2019</v>
      </c>
      <c r="C3673">
        <v>52.995682917257</v>
      </c>
      <c r="D3673" t="s">
        <v>627</v>
      </c>
      <c r="E3673" t="s">
        <v>298</v>
      </c>
      <c r="F3673" t="s">
        <v>33</v>
      </c>
    </row>
    <row r="3674" spans="1:6" x14ac:dyDescent="0.2">
      <c r="A3674">
        <v>46859172</v>
      </c>
      <c r="B3674">
        <v>2018</v>
      </c>
      <c r="C3674">
        <v>61.4444444444444</v>
      </c>
      <c r="D3674" t="s">
        <v>627</v>
      </c>
      <c r="E3674" t="s">
        <v>445</v>
      </c>
      <c r="F3674" t="s">
        <v>1126</v>
      </c>
    </row>
    <row r="3675" spans="1:6" x14ac:dyDescent="0.2">
      <c r="A3675">
        <v>69544151</v>
      </c>
      <c r="B3675">
        <v>2018</v>
      </c>
      <c r="C3675">
        <v>58.531276721948601</v>
      </c>
      <c r="D3675" t="s">
        <v>627</v>
      </c>
      <c r="E3675" t="s">
        <v>298</v>
      </c>
      <c r="F3675" t="s">
        <v>33</v>
      </c>
    </row>
    <row r="3676" spans="1:6" x14ac:dyDescent="0.2">
      <c r="A3676">
        <v>46859172</v>
      </c>
      <c r="B3676">
        <v>2017</v>
      </c>
      <c r="C3676">
        <v>69.831666666666706</v>
      </c>
      <c r="D3676" t="s">
        <v>627</v>
      </c>
      <c r="E3676" t="s">
        <v>445</v>
      </c>
      <c r="F3676" t="s">
        <v>1126</v>
      </c>
    </row>
    <row r="3677" spans="1:6" x14ac:dyDescent="0.2">
      <c r="A3677">
        <v>69544151</v>
      </c>
      <c r="B3677">
        <v>2017</v>
      </c>
      <c r="C3677">
        <v>50.879013815814098</v>
      </c>
      <c r="D3677" t="s">
        <v>627</v>
      </c>
      <c r="E3677" t="s">
        <v>298</v>
      </c>
      <c r="F3677" t="s">
        <v>33</v>
      </c>
    </row>
    <row r="3678" spans="1:6" x14ac:dyDescent="0.2">
      <c r="A3678">
        <v>46859172</v>
      </c>
      <c r="B3678">
        <v>2016</v>
      </c>
      <c r="C3678">
        <v>48.993333333333297</v>
      </c>
      <c r="D3678" t="s">
        <v>627</v>
      </c>
      <c r="E3678" t="s">
        <v>445</v>
      </c>
      <c r="F3678" t="s">
        <v>1126</v>
      </c>
    </row>
    <row r="3679" spans="1:6" x14ac:dyDescent="0.2">
      <c r="A3679">
        <v>69544151</v>
      </c>
      <c r="B3679">
        <v>2015</v>
      </c>
      <c r="C3679">
        <v>44.902804871948803</v>
      </c>
      <c r="D3679" t="s">
        <v>627</v>
      </c>
      <c r="E3679" t="s">
        <v>298</v>
      </c>
      <c r="F3679" t="s">
        <v>33</v>
      </c>
    </row>
    <row r="3680" spans="1:6" x14ac:dyDescent="0.2">
      <c r="A3680">
        <v>69544151</v>
      </c>
      <c r="B3680">
        <v>2014</v>
      </c>
      <c r="C3680">
        <v>45.029482218536899</v>
      </c>
      <c r="D3680" t="s">
        <v>627</v>
      </c>
      <c r="E3680" t="s">
        <v>298</v>
      </c>
      <c r="F3680" t="s">
        <v>33</v>
      </c>
    </row>
    <row r="3681" spans="1:6" x14ac:dyDescent="0.2">
      <c r="A3681">
        <v>69544151</v>
      </c>
      <c r="B3681">
        <v>2013</v>
      </c>
      <c r="C3681">
        <v>47.571428571428598</v>
      </c>
      <c r="D3681" t="s">
        <v>627</v>
      </c>
      <c r="E3681" t="s">
        <v>298</v>
      </c>
      <c r="F3681" t="s">
        <v>33</v>
      </c>
    </row>
    <row r="3682" spans="1:6" x14ac:dyDescent="0.2">
      <c r="A3682">
        <v>69544151</v>
      </c>
      <c r="B3682">
        <v>2012</v>
      </c>
      <c r="C3682">
        <v>40.183772538141497</v>
      </c>
      <c r="D3682" t="s">
        <v>627</v>
      </c>
      <c r="E3682" t="s">
        <v>298</v>
      </c>
      <c r="F3682" t="s">
        <v>33</v>
      </c>
    </row>
    <row r="3683" spans="1:6" x14ac:dyDescent="0.2">
      <c r="A3683">
        <v>69544151</v>
      </c>
      <c r="B3683">
        <v>2011</v>
      </c>
      <c r="C3683">
        <v>48.5681557846506</v>
      </c>
      <c r="D3683" t="s">
        <v>627</v>
      </c>
      <c r="E3683" t="s">
        <v>298</v>
      </c>
      <c r="F3683" t="s">
        <v>33</v>
      </c>
    </row>
    <row r="3684" spans="1:6" x14ac:dyDescent="0.2">
      <c r="A3684">
        <v>69544151</v>
      </c>
      <c r="B3684">
        <v>2010</v>
      </c>
      <c r="C3684">
        <v>39.262820512820497</v>
      </c>
      <c r="D3684" t="s">
        <v>627</v>
      </c>
      <c r="E3684" t="s">
        <v>298</v>
      </c>
      <c r="F3684" t="s">
        <v>33</v>
      </c>
    </row>
    <row r="3685" spans="1:6" x14ac:dyDescent="0.2">
      <c r="A3685">
        <v>80492610</v>
      </c>
      <c r="B3685">
        <v>2020</v>
      </c>
      <c r="C3685">
        <v>11.832307803756301</v>
      </c>
      <c r="D3685" t="s">
        <v>478</v>
      </c>
      <c r="E3685" t="s">
        <v>479</v>
      </c>
      <c r="F3685" t="s">
        <v>68</v>
      </c>
    </row>
    <row r="3686" spans="1:6" x14ac:dyDescent="0.2">
      <c r="A3686">
        <v>80492610</v>
      </c>
      <c r="B3686">
        <v>2019</v>
      </c>
      <c r="C3686">
        <v>12.6247611931742</v>
      </c>
      <c r="D3686" t="s">
        <v>478</v>
      </c>
      <c r="E3686" t="s">
        <v>479</v>
      </c>
      <c r="F3686" t="s">
        <v>68</v>
      </c>
    </row>
    <row r="3687" spans="1:6" x14ac:dyDescent="0.2">
      <c r="A3687">
        <v>80492610</v>
      </c>
      <c r="B3687">
        <v>2018</v>
      </c>
      <c r="C3687">
        <v>11.5296644763767</v>
      </c>
      <c r="D3687" t="s">
        <v>478</v>
      </c>
      <c r="E3687" t="s">
        <v>479</v>
      </c>
      <c r="F3687" t="s">
        <v>68</v>
      </c>
    </row>
    <row r="3688" spans="1:6" x14ac:dyDescent="0.2">
      <c r="A3688">
        <v>80492610</v>
      </c>
      <c r="B3688">
        <v>2017</v>
      </c>
      <c r="C3688">
        <v>11.264451694139201</v>
      </c>
      <c r="D3688" t="s">
        <v>478</v>
      </c>
      <c r="E3688" t="s">
        <v>479</v>
      </c>
      <c r="F3688" t="s">
        <v>68</v>
      </c>
    </row>
    <row r="3689" spans="1:6" x14ac:dyDescent="0.2">
      <c r="A3689">
        <v>80492610</v>
      </c>
      <c r="B3689">
        <v>2016</v>
      </c>
      <c r="C3689">
        <v>7.9830469112865803</v>
      </c>
      <c r="D3689" t="s">
        <v>478</v>
      </c>
      <c r="E3689" t="s">
        <v>479</v>
      </c>
      <c r="F3689" t="s">
        <v>68</v>
      </c>
    </row>
    <row r="3690" spans="1:6" x14ac:dyDescent="0.2">
      <c r="A3690">
        <v>80492610</v>
      </c>
      <c r="B3690">
        <v>2015</v>
      </c>
      <c r="C3690">
        <v>8.1865203099923001</v>
      </c>
      <c r="D3690" t="s">
        <v>478</v>
      </c>
      <c r="E3690" t="s">
        <v>479</v>
      </c>
      <c r="F3690" t="s">
        <v>68</v>
      </c>
    </row>
    <row r="3691" spans="1:6" x14ac:dyDescent="0.2">
      <c r="A3691">
        <v>80492610</v>
      </c>
      <c r="B3691">
        <v>2014</v>
      </c>
      <c r="C3691">
        <v>8.5916997607933308</v>
      </c>
      <c r="D3691" t="s">
        <v>478</v>
      </c>
      <c r="E3691" t="s">
        <v>479</v>
      </c>
      <c r="F3691" t="s">
        <v>68</v>
      </c>
    </row>
    <row r="3692" spans="1:6" x14ac:dyDescent="0.2">
      <c r="A3692">
        <v>80492610</v>
      </c>
      <c r="B3692">
        <v>2013</v>
      </c>
      <c r="C3692">
        <v>8.6666666666666696</v>
      </c>
      <c r="D3692" t="s">
        <v>478</v>
      </c>
      <c r="E3692" t="s">
        <v>479</v>
      </c>
      <c r="F3692" t="s">
        <v>68</v>
      </c>
    </row>
    <row r="3693" spans="1:6" x14ac:dyDescent="0.2">
      <c r="A3693">
        <v>80492610</v>
      </c>
      <c r="B3693">
        <v>2012</v>
      </c>
      <c r="C3693">
        <v>9.24050632911392</v>
      </c>
      <c r="D3693" t="s">
        <v>478</v>
      </c>
      <c r="E3693" t="s">
        <v>479</v>
      </c>
      <c r="F3693" t="s">
        <v>68</v>
      </c>
    </row>
    <row r="3694" spans="1:6" x14ac:dyDescent="0.2">
      <c r="A3694">
        <v>54628942</v>
      </c>
      <c r="B3694">
        <v>2018</v>
      </c>
      <c r="C3694">
        <v>11.3478904868842</v>
      </c>
      <c r="D3694" t="s">
        <v>992</v>
      </c>
      <c r="E3694" t="s">
        <v>993</v>
      </c>
      <c r="F3694" t="s">
        <v>68</v>
      </c>
    </row>
    <row r="3695" spans="1:6" x14ac:dyDescent="0.2">
      <c r="A3695">
        <v>30295484</v>
      </c>
      <c r="B3695">
        <v>2014</v>
      </c>
      <c r="C3695">
        <v>32.884292647525697</v>
      </c>
      <c r="D3695" t="s">
        <v>90</v>
      </c>
      <c r="E3695" t="s">
        <v>88</v>
      </c>
      <c r="F3695" t="s">
        <v>49</v>
      </c>
    </row>
    <row r="3696" spans="1:6" x14ac:dyDescent="0.2">
      <c r="A3696">
        <v>25060470</v>
      </c>
      <c r="B3696">
        <v>2020</v>
      </c>
      <c r="C3696">
        <v>33.082994736304698</v>
      </c>
      <c r="D3696" t="s">
        <v>285</v>
      </c>
      <c r="E3696" t="s">
        <v>88</v>
      </c>
      <c r="F3696" t="s">
        <v>49</v>
      </c>
    </row>
    <row r="3697" spans="1:6" x14ac:dyDescent="0.2">
      <c r="A3697">
        <v>17413325</v>
      </c>
      <c r="B3697">
        <v>2020</v>
      </c>
      <c r="C3697">
        <v>59.577229572450896</v>
      </c>
      <c r="D3697" t="s">
        <v>297</v>
      </c>
      <c r="E3697" t="s">
        <v>1128</v>
      </c>
      <c r="F3697" t="s">
        <v>33</v>
      </c>
    </row>
    <row r="3698" spans="1:6" x14ac:dyDescent="0.2">
      <c r="A3698">
        <v>17413325</v>
      </c>
      <c r="B3698">
        <v>2020</v>
      </c>
      <c r="C3698">
        <v>59.577229572450896</v>
      </c>
      <c r="D3698" t="s">
        <v>297</v>
      </c>
      <c r="E3698" t="s">
        <v>298</v>
      </c>
      <c r="F3698" t="s">
        <v>33</v>
      </c>
    </row>
    <row r="3699" spans="1:6" x14ac:dyDescent="0.2">
      <c r="A3699">
        <v>17413325</v>
      </c>
      <c r="B3699">
        <v>2019</v>
      </c>
      <c r="C3699">
        <v>57.729697928456702</v>
      </c>
      <c r="D3699" t="s">
        <v>297</v>
      </c>
      <c r="E3699" t="s">
        <v>1128</v>
      </c>
      <c r="F3699" t="s">
        <v>33</v>
      </c>
    </row>
    <row r="3700" spans="1:6" x14ac:dyDescent="0.2">
      <c r="A3700">
        <v>17413325</v>
      </c>
      <c r="B3700">
        <v>2019</v>
      </c>
      <c r="C3700">
        <v>57.729697928456702</v>
      </c>
      <c r="D3700" t="s">
        <v>297</v>
      </c>
      <c r="E3700" t="s">
        <v>298</v>
      </c>
      <c r="F3700" t="s">
        <v>33</v>
      </c>
    </row>
    <row r="3701" spans="1:6" x14ac:dyDescent="0.2">
      <c r="A3701">
        <v>17413325</v>
      </c>
      <c r="B3701">
        <v>2018</v>
      </c>
      <c r="C3701">
        <v>61.269880000601503</v>
      </c>
      <c r="D3701" t="s">
        <v>297</v>
      </c>
      <c r="E3701" t="s">
        <v>1128</v>
      </c>
      <c r="F3701" t="s">
        <v>33</v>
      </c>
    </row>
    <row r="3702" spans="1:6" x14ac:dyDescent="0.2">
      <c r="A3702">
        <v>17413325</v>
      </c>
      <c r="B3702">
        <v>2018</v>
      </c>
      <c r="C3702">
        <v>61.269880000601503</v>
      </c>
      <c r="D3702" t="s">
        <v>297</v>
      </c>
      <c r="E3702" t="s">
        <v>298</v>
      </c>
      <c r="F3702" t="s">
        <v>33</v>
      </c>
    </row>
    <row r="3703" spans="1:6" x14ac:dyDescent="0.2">
      <c r="A3703">
        <v>17413325</v>
      </c>
      <c r="B3703">
        <v>2017</v>
      </c>
      <c r="C3703">
        <v>53.517346931430602</v>
      </c>
      <c r="D3703" t="s">
        <v>297</v>
      </c>
      <c r="E3703" t="s">
        <v>1128</v>
      </c>
      <c r="F3703" t="s">
        <v>33</v>
      </c>
    </row>
    <row r="3704" spans="1:6" x14ac:dyDescent="0.2">
      <c r="A3704">
        <v>17413325</v>
      </c>
      <c r="B3704">
        <v>2017</v>
      </c>
      <c r="C3704">
        <v>53.517346931430602</v>
      </c>
      <c r="D3704" t="s">
        <v>297</v>
      </c>
      <c r="E3704" t="s">
        <v>298</v>
      </c>
      <c r="F3704" t="s">
        <v>33</v>
      </c>
    </row>
    <row r="3705" spans="1:6" x14ac:dyDescent="0.2">
      <c r="A3705">
        <v>17413325</v>
      </c>
      <c r="B3705">
        <v>2015</v>
      </c>
      <c r="C3705">
        <v>46.408072157434397</v>
      </c>
      <c r="D3705" t="s">
        <v>297</v>
      </c>
      <c r="E3705" t="s">
        <v>1128</v>
      </c>
      <c r="F3705" t="s">
        <v>33</v>
      </c>
    </row>
    <row r="3706" spans="1:6" x14ac:dyDescent="0.2">
      <c r="A3706">
        <v>17413325</v>
      </c>
      <c r="B3706">
        <v>2015</v>
      </c>
      <c r="C3706">
        <v>46.408072157434397</v>
      </c>
      <c r="D3706" t="s">
        <v>297</v>
      </c>
      <c r="E3706" t="s">
        <v>298</v>
      </c>
      <c r="F3706" t="s">
        <v>33</v>
      </c>
    </row>
    <row r="3707" spans="1:6" x14ac:dyDescent="0.2">
      <c r="A3707">
        <v>17413325</v>
      </c>
      <c r="B3707">
        <v>2014</v>
      </c>
      <c r="C3707">
        <v>46.833732571709398</v>
      </c>
      <c r="D3707" t="s">
        <v>297</v>
      </c>
      <c r="E3707" t="s">
        <v>1128</v>
      </c>
      <c r="F3707" t="s">
        <v>33</v>
      </c>
    </row>
    <row r="3708" spans="1:6" x14ac:dyDescent="0.2">
      <c r="A3708">
        <v>17413325</v>
      </c>
      <c r="B3708">
        <v>2014</v>
      </c>
      <c r="C3708">
        <v>46.833732571709398</v>
      </c>
      <c r="D3708" t="s">
        <v>297</v>
      </c>
      <c r="E3708" t="s">
        <v>298</v>
      </c>
      <c r="F3708" t="s">
        <v>33</v>
      </c>
    </row>
    <row r="3709" spans="1:6" x14ac:dyDescent="0.2">
      <c r="A3709">
        <v>17413325</v>
      </c>
      <c r="B3709">
        <v>2012</v>
      </c>
      <c r="C3709">
        <v>44.150485436893199</v>
      </c>
      <c r="D3709" t="s">
        <v>297</v>
      </c>
      <c r="E3709" t="s">
        <v>1128</v>
      </c>
      <c r="F3709" t="s">
        <v>33</v>
      </c>
    </row>
    <row r="3710" spans="1:6" x14ac:dyDescent="0.2">
      <c r="A3710">
        <v>17413325</v>
      </c>
      <c r="B3710">
        <v>2012</v>
      </c>
      <c r="C3710">
        <v>44.150485436893199</v>
      </c>
      <c r="D3710" t="s">
        <v>297</v>
      </c>
      <c r="E3710" t="s">
        <v>298</v>
      </c>
      <c r="F3710" t="s">
        <v>33</v>
      </c>
    </row>
    <row r="3711" spans="1:6" x14ac:dyDescent="0.2">
      <c r="A3711">
        <v>81451105</v>
      </c>
      <c r="B3711">
        <v>2020</v>
      </c>
      <c r="C3711">
        <v>37.702757331693398</v>
      </c>
      <c r="D3711" t="s">
        <v>224</v>
      </c>
      <c r="E3711"/>
      <c r="F3711" t="s">
        <v>223</v>
      </c>
    </row>
    <row r="3712" spans="1:6" x14ac:dyDescent="0.2">
      <c r="A3712">
        <v>81451105</v>
      </c>
      <c r="B3712">
        <v>2019</v>
      </c>
      <c r="C3712">
        <v>34.666099532114004</v>
      </c>
      <c r="D3712" t="s">
        <v>224</v>
      </c>
      <c r="E3712"/>
      <c r="F3712" t="s">
        <v>223</v>
      </c>
    </row>
    <row r="3713" spans="1:6" x14ac:dyDescent="0.2">
      <c r="A3713">
        <v>81451105</v>
      </c>
      <c r="B3713">
        <v>2018</v>
      </c>
      <c r="C3713">
        <v>35.241680462912697</v>
      </c>
      <c r="D3713" t="s">
        <v>224</v>
      </c>
      <c r="E3713"/>
      <c r="F3713" t="s">
        <v>223</v>
      </c>
    </row>
    <row r="3714" spans="1:6" x14ac:dyDescent="0.2">
      <c r="A3714">
        <v>81451105</v>
      </c>
      <c r="B3714">
        <v>2017</v>
      </c>
      <c r="C3714">
        <v>27.214165145199601</v>
      </c>
      <c r="D3714" t="s">
        <v>224</v>
      </c>
      <c r="E3714"/>
      <c r="F3714" t="s">
        <v>223</v>
      </c>
    </row>
    <row r="3715" spans="1:6" x14ac:dyDescent="0.2">
      <c r="A3715">
        <v>81451105</v>
      </c>
      <c r="B3715">
        <v>2016</v>
      </c>
      <c r="C3715">
        <v>25.848741472953499</v>
      </c>
      <c r="D3715" t="s">
        <v>224</v>
      </c>
      <c r="E3715"/>
      <c r="F3715" t="s">
        <v>223</v>
      </c>
    </row>
    <row r="3716" spans="1:6" x14ac:dyDescent="0.2">
      <c r="A3716">
        <v>81451105</v>
      </c>
      <c r="B3716">
        <v>2015</v>
      </c>
      <c r="C3716">
        <v>23.094847775175602</v>
      </c>
      <c r="D3716" t="s">
        <v>224</v>
      </c>
      <c r="E3716"/>
      <c r="F3716" t="s">
        <v>223</v>
      </c>
    </row>
    <row r="3717" spans="1:6" x14ac:dyDescent="0.2">
      <c r="A3717">
        <v>81451105</v>
      </c>
      <c r="B3717">
        <v>2014</v>
      </c>
      <c r="C3717">
        <v>27.860933460334699</v>
      </c>
      <c r="D3717" t="s">
        <v>224</v>
      </c>
      <c r="E3717"/>
      <c r="F3717" t="s">
        <v>223</v>
      </c>
    </row>
    <row r="3718" spans="1:6" x14ac:dyDescent="0.2">
      <c r="A3718">
        <v>81451105</v>
      </c>
      <c r="B3718">
        <v>2013</v>
      </c>
      <c r="C3718">
        <v>27.625231910946201</v>
      </c>
      <c r="D3718" t="s">
        <v>224</v>
      </c>
      <c r="E3718"/>
      <c r="F3718" t="s">
        <v>223</v>
      </c>
    </row>
    <row r="3719" spans="1:6" x14ac:dyDescent="0.2">
      <c r="A3719">
        <v>81451105</v>
      </c>
      <c r="B3719">
        <v>2012</v>
      </c>
      <c r="C3719">
        <v>21.584362139917701</v>
      </c>
      <c r="D3719" t="s">
        <v>224</v>
      </c>
      <c r="E3719"/>
      <c r="F3719" t="s">
        <v>223</v>
      </c>
    </row>
    <row r="3720" spans="1:6" x14ac:dyDescent="0.2">
      <c r="A3720">
        <v>81451105</v>
      </c>
      <c r="B3720">
        <v>2011</v>
      </c>
      <c r="C3720">
        <v>23.913043478260899</v>
      </c>
      <c r="D3720" t="s">
        <v>224</v>
      </c>
      <c r="E3720"/>
      <c r="F3720" t="s">
        <v>223</v>
      </c>
    </row>
    <row r="3721" spans="1:6" x14ac:dyDescent="0.2">
      <c r="A3721">
        <v>81451105</v>
      </c>
      <c r="B3721">
        <v>2010</v>
      </c>
      <c r="C3721">
        <v>43.209876543209901</v>
      </c>
      <c r="D3721" t="s">
        <v>224</v>
      </c>
      <c r="E3721"/>
      <c r="F3721" t="s">
        <v>223</v>
      </c>
    </row>
    <row r="3722" spans="1:6" x14ac:dyDescent="0.2">
      <c r="A3722">
        <v>23962464</v>
      </c>
      <c r="B3722">
        <v>2019</v>
      </c>
      <c r="C3722">
        <v>46.2662398232928</v>
      </c>
      <c r="D3722" t="s">
        <v>507</v>
      </c>
      <c r="E3722" t="s">
        <v>508</v>
      </c>
      <c r="F3722" t="s">
        <v>191</v>
      </c>
    </row>
    <row r="3723" spans="1:6" x14ac:dyDescent="0.2">
      <c r="A3723">
        <v>83551767</v>
      </c>
      <c r="B3723">
        <v>2020</v>
      </c>
      <c r="C3723">
        <v>6.9715184844399696</v>
      </c>
      <c r="D3723" t="s">
        <v>1023</v>
      </c>
      <c r="E3723" t="s">
        <v>1022</v>
      </c>
      <c r="F3723" t="s">
        <v>137</v>
      </c>
    </row>
    <row r="3724" spans="1:6" x14ac:dyDescent="0.2">
      <c r="A3724">
        <v>83551767</v>
      </c>
      <c r="B3724">
        <v>2019</v>
      </c>
      <c r="C3724">
        <v>9.7251146054453894</v>
      </c>
      <c r="D3724" t="s">
        <v>1023</v>
      </c>
      <c r="E3724" t="s">
        <v>1022</v>
      </c>
      <c r="F3724" t="s">
        <v>137</v>
      </c>
    </row>
    <row r="3725" spans="1:6" x14ac:dyDescent="0.2">
      <c r="A3725">
        <v>83551767</v>
      </c>
      <c r="B3725">
        <v>2018</v>
      </c>
      <c r="C3725">
        <v>8.6233688984720605</v>
      </c>
      <c r="D3725" t="s">
        <v>1023</v>
      </c>
      <c r="E3725" t="s">
        <v>1022</v>
      </c>
      <c r="F3725" t="s">
        <v>137</v>
      </c>
    </row>
    <row r="3726" spans="1:6" x14ac:dyDescent="0.2">
      <c r="A3726">
        <v>83551767</v>
      </c>
      <c r="B3726">
        <v>2016</v>
      </c>
      <c r="C3726">
        <v>11.844737655107901</v>
      </c>
      <c r="D3726" t="s">
        <v>1023</v>
      </c>
      <c r="E3726" t="s">
        <v>1022</v>
      </c>
      <c r="F3726" t="s">
        <v>137</v>
      </c>
    </row>
    <row r="3727" spans="1:6" x14ac:dyDescent="0.2">
      <c r="A3727">
        <v>83551767</v>
      </c>
      <c r="B3727">
        <v>2015</v>
      </c>
      <c r="C3727">
        <v>14.1487187549128</v>
      </c>
      <c r="D3727" t="s">
        <v>1023</v>
      </c>
      <c r="E3727" t="s">
        <v>1022</v>
      </c>
      <c r="F3727" t="s">
        <v>137</v>
      </c>
    </row>
    <row r="3728" spans="1:6" x14ac:dyDescent="0.2">
      <c r="A3728">
        <v>83551767</v>
      </c>
      <c r="B3728">
        <v>2014</v>
      </c>
      <c r="C3728">
        <v>12.8432832163637</v>
      </c>
      <c r="D3728" t="s">
        <v>1023</v>
      </c>
      <c r="E3728" t="s">
        <v>1022</v>
      </c>
      <c r="F3728" t="s">
        <v>137</v>
      </c>
    </row>
    <row r="3729" spans="1:6" x14ac:dyDescent="0.2">
      <c r="A3729">
        <v>90939537</v>
      </c>
      <c r="B3729">
        <v>2016</v>
      </c>
      <c r="C3729">
        <v>21.291356062612699</v>
      </c>
      <c r="D3729" t="s">
        <v>1062</v>
      </c>
      <c r="E3729" t="s">
        <v>1063</v>
      </c>
      <c r="F3729" t="s">
        <v>223</v>
      </c>
    </row>
    <row r="3730" spans="1:6" x14ac:dyDescent="0.2">
      <c r="A3730">
        <v>40342996</v>
      </c>
      <c r="B3730">
        <v>2020</v>
      </c>
      <c r="C3730">
        <v>12.594998296543899</v>
      </c>
      <c r="D3730" t="s">
        <v>36</v>
      </c>
      <c r="E3730"/>
      <c r="F3730" t="s">
        <v>37</v>
      </c>
    </row>
    <row r="3731" spans="1:6" x14ac:dyDescent="0.2">
      <c r="A3731">
        <v>40342996</v>
      </c>
      <c r="B3731">
        <v>2019</v>
      </c>
      <c r="C3731">
        <v>12.5347929585768</v>
      </c>
      <c r="D3731" t="s">
        <v>36</v>
      </c>
      <c r="E3731"/>
      <c r="F3731" t="s">
        <v>37</v>
      </c>
    </row>
    <row r="3732" spans="1:6" x14ac:dyDescent="0.2">
      <c r="A3732">
        <v>40342996</v>
      </c>
      <c r="B3732">
        <v>2018</v>
      </c>
      <c r="C3732">
        <v>13.0565368445638</v>
      </c>
      <c r="D3732" t="s">
        <v>36</v>
      </c>
      <c r="E3732"/>
      <c r="F3732" t="s">
        <v>37</v>
      </c>
    </row>
    <row r="3733" spans="1:6" x14ac:dyDescent="0.2">
      <c r="A3733">
        <v>40342996</v>
      </c>
      <c r="B3733">
        <v>2017</v>
      </c>
      <c r="C3733">
        <v>11.790316962730801</v>
      </c>
      <c r="D3733" t="s">
        <v>36</v>
      </c>
      <c r="E3733"/>
      <c r="F3733" t="s">
        <v>37</v>
      </c>
    </row>
    <row r="3734" spans="1:6" x14ac:dyDescent="0.2">
      <c r="A3734">
        <v>40342996</v>
      </c>
      <c r="B3734">
        <v>2016</v>
      </c>
      <c r="C3734">
        <v>11.365506867975901</v>
      </c>
      <c r="D3734" t="s">
        <v>36</v>
      </c>
      <c r="E3734"/>
      <c r="F3734" t="s">
        <v>37</v>
      </c>
    </row>
    <row r="3735" spans="1:6" x14ac:dyDescent="0.2">
      <c r="A3735">
        <v>40342996</v>
      </c>
      <c r="B3735">
        <v>2015</v>
      </c>
      <c r="C3735">
        <v>9.2359806452333792</v>
      </c>
      <c r="D3735" t="s">
        <v>36</v>
      </c>
      <c r="E3735"/>
      <c r="F3735" t="s">
        <v>37</v>
      </c>
    </row>
    <row r="3736" spans="1:6" x14ac:dyDescent="0.2">
      <c r="A3736">
        <v>40342996</v>
      </c>
      <c r="B3736">
        <v>2014</v>
      </c>
      <c r="C3736">
        <v>11.9222697521766</v>
      </c>
      <c r="D3736" t="s">
        <v>36</v>
      </c>
      <c r="E3736"/>
      <c r="F3736" t="s">
        <v>37</v>
      </c>
    </row>
    <row r="3737" spans="1:6" x14ac:dyDescent="0.2">
      <c r="A3737">
        <v>40342996</v>
      </c>
      <c r="B3737">
        <v>2013</v>
      </c>
      <c r="C3737">
        <v>11.6444829206209</v>
      </c>
      <c r="D3737" t="s">
        <v>36</v>
      </c>
      <c r="E3737"/>
      <c r="F3737" t="s">
        <v>37</v>
      </c>
    </row>
    <row r="3738" spans="1:6" x14ac:dyDescent="0.2">
      <c r="A3738">
        <v>40342996</v>
      </c>
      <c r="B3738">
        <v>2012</v>
      </c>
      <c r="C3738">
        <v>12.388405350464</v>
      </c>
      <c r="D3738" t="s">
        <v>36</v>
      </c>
      <c r="E3738"/>
      <c r="F3738" t="s">
        <v>37</v>
      </c>
    </row>
    <row r="3739" spans="1:6" x14ac:dyDescent="0.2">
      <c r="A3739">
        <v>40342996</v>
      </c>
      <c r="B3739">
        <v>2011</v>
      </c>
      <c r="C3739">
        <v>18.2586533424669</v>
      </c>
      <c r="D3739" t="s">
        <v>36</v>
      </c>
      <c r="E3739"/>
      <c r="F3739" t="s">
        <v>37</v>
      </c>
    </row>
    <row r="3740" spans="1:6" x14ac:dyDescent="0.2">
      <c r="A3740">
        <v>40342996</v>
      </c>
      <c r="B3740">
        <v>2010</v>
      </c>
      <c r="C3740">
        <v>16.328371415386101</v>
      </c>
      <c r="D3740" t="s">
        <v>36</v>
      </c>
      <c r="E3740"/>
      <c r="F3740" t="s">
        <v>37</v>
      </c>
    </row>
    <row r="3741" spans="1:6" x14ac:dyDescent="0.2">
      <c r="A3741">
        <v>22185901</v>
      </c>
      <c r="B3741">
        <v>2019</v>
      </c>
      <c r="C3741">
        <v>4.5689847112958297</v>
      </c>
      <c r="D3741" t="s">
        <v>952</v>
      </c>
      <c r="E3741" t="s">
        <v>953</v>
      </c>
      <c r="F3741" t="s">
        <v>268</v>
      </c>
    </row>
    <row r="3742" spans="1:6" x14ac:dyDescent="0.2">
      <c r="A3742">
        <v>22185901</v>
      </c>
      <c r="B3742">
        <v>2018</v>
      </c>
      <c r="C3742">
        <v>5.5368902431307498</v>
      </c>
      <c r="D3742" t="s">
        <v>952</v>
      </c>
      <c r="E3742" t="s">
        <v>953</v>
      </c>
      <c r="F3742" t="s">
        <v>268</v>
      </c>
    </row>
    <row r="3743" spans="1:6" x14ac:dyDescent="0.2">
      <c r="A3743">
        <v>26803386</v>
      </c>
      <c r="B3743">
        <v>2019</v>
      </c>
      <c r="C3743">
        <v>75</v>
      </c>
      <c r="D3743" t="s">
        <v>833</v>
      </c>
      <c r="E3743" t="s">
        <v>25</v>
      </c>
      <c r="F3743" t="s">
        <v>1126</v>
      </c>
    </row>
    <row r="3744" spans="1:6" x14ac:dyDescent="0.2">
      <c r="A3744">
        <v>26803386</v>
      </c>
      <c r="B3744">
        <v>2016</v>
      </c>
      <c r="C3744">
        <v>59.1666666666667</v>
      </c>
      <c r="D3744" t="s">
        <v>833</v>
      </c>
      <c r="E3744" t="s">
        <v>25</v>
      </c>
      <c r="F3744" t="s">
        <v>1126</v>
      </c>
    </row>
    <row r="3745" spans="1:6" x14ac:dyDescent="0.2">
      <c r="A3745">
        <v>26803386</v>
      </c>
      <c r="B3745">
        <v>2015</v>
      </c>
      <c r="C3745">
        <v>56</v>
      </c>
      <c r="D3745" t="s">
        <v>833</v>
      </c>
      <c r="E3745" t="s">
        <v>25</v>
      </c>
      <c r="F3745" t="s">
        <v>1126</v>
      </c>
    </row>
    <row r="3746" spans="1:6" x14ac:dyDescent="0.2">
      <c r="A3746">
        <v>78593250</v>
      </c>
      <c r="B3746">
        <v>2020</v>
      </c>
      <c r="C3746">
        <v>8.5013118387581699</v>
      </c>
      <c r="D3746" t="s">
        <v>1021</v>
      </c>
      <c r="E3746" t="s">
        <v>1022</v>
      </c>
      <c r="F3746" t="s">
        <v>137</v>
      </c>
    </row>
    <row r="3747" spans="1:6" x14ac:dyDescent="0.2">
      <c r="A3747">
        <v>78593250</v>
      </c>
      <c r="B3747">
        <v>2019</v>
      </c>
      <c r="C3747">
        <v>10.699222964939899</v>
      </c>
      <c r="D3747" t="s">
        <v>1021</v>
      </c>
      <c r="E3747" t="s">
        <v>1022</v>
      </c>
      <c r="F3747" t="s">
        <v>137</v>
      </c>
    </row>
    <row r="3748" spans="1:6" x14ac:dyDescent="0.2">
      <c r="A3748">
        <v>78593250</v>
      </c>
      <c r="B3748">
        <v>2018</v>
      </c>
      <c r="C3748">
        <v>11.959890364292001</v>
      </c>
      <c r="D3748" t="s">
        <v>1021</v>
      </c>
      <c r="E3748" t="s">
        <v>1022</v>
      </c>
      <c r="F3748" t="s">
        <v>137</v>
      </c>
    </row>
    <row r="3749" spans="1:6" x14ac:dyDescent="0.2">
      <c r="A3749">
        <v>78593250</v>
      </c>
      <c r="B3749">
        <v>2017</v>
      </c>
      <c r="C3749">
        <v>9.7814776274713804</v>
      </c>
      <c r="D3749" t="s">
        <v>1021</v>
      </c>
      <c r="E3749" t="s">
        <v>1022</v>
      </c>
      <c r="F3749" t="s">
        <v>137</v>
      </c>
    </row>
    <row r="3750" spans="1:6" x14ac:dyDescent="0.2">
      <c r="A3750">
        <v>78593250</v>
      </c>
      <c r="B3750">
        <v>2016</v>
      </c>
      <c r="C3750">
        <v>13.214351058947701</v>
      </c>
      <c r="D3750" t="s">
        <v>1021</v>
      </c>
      <c r="E3750" t="s">
        <v>1022</v>
      </c>
      <c r="F3750" t="s">
        <v>137</v>
      </c>
    </row>
    <row r="3751" spans="1:6" x14ac:dyDescent="0.2">
      <c r="A3751">
        <v>78593250</v>
      </c>
      <c r="B3751">
        <v>2015</v>
      </c>
      <c r="C3751">
        <v>16.818110360006301</v>
      </c>
      <c r="D3751" t="s">
        <v>1021</v>
      </c>
      <c r="E3751" t="s">
        <v>1022</v>
      </c>
      <c r="F3751" t="s">
        <v>137</v>
      </c>
    </row>
    <row r="3752" spans="1:6" x14ac:dyDescent="0.2">
      <c r="A3752">
        <v>78593250</v>
      </c>
      <c r="B3752">
        <v>2014</v>
      </c>
      <c r="C3752">
        <v>16.8990568636364</v>
      </c>
      <c r="D3752" t="s">
        <v>1021</v>
      </c>
      <c r="E3752" t="s">
        <v>1022</v>
      </c>
      <c r="F3752" t="s">
        <v>137</v>
      </c>
    </row>
    <row r="3753" spans="1:6" x14ac:dyDescent="0.2">
      <c r="A3753">
        <v>57642786</v>
      </c>
      <c r="B3753">
        <v>2019</v>
      </c>
      <c r="C3753">
        <v>38.5196887846975</v>
      </c>
      <c r="D3753" t="s">
        <v>974</v>
      </c>
      <c r="E3753" t="s">
        <v>975</v>
      </c>
      <c r="F3753" t="s">
        <v>35</v>
      </c>
    </row>
    <row r="3754" spans="1:6" x14ac:dyDescent="0.2">
      <c r="A3754">
        <v>57642786</v>
      </c>
      <c r="B3754">
        <v>2018</v>
      </c>
      <c r="C3754">
        <v>41.628619004135999</v>
      </c>
      <c r="D3754" t="s">
        <v>974</v>
      </c>
      <c r="E3754" t="s">
        <v>975</v>
      </c>
      <c r="F3754" t="s">
        <v>35</v>
      </c>
    </row>
    <row r="3755" spans="1:6" x14ac:dyDescent="0.2">
      <c r="A3755">
        <v>57642786</v>
      </c>
      <c r="B3755">
        <v>2017</v>
      </c>
      <c r="C3755">
        <v>34.892364640381103</v>
      </c>
      <c r="D3755" t="s">
        <v>974</v>
      </c>
      <c r="E3755" t="s">
        <v>975</v>
      </c>
      <c r="F3755" t="s">
        <v>35</v>
      </c>
    </row>
    <row r="3756" spans="1:6" x14ac:dyDescent="0.2">
      <c r="A3756">
        <v>57642786</v>
      </c>
      <c r="B3756">
        <v>2016</v>
      </c>
      <c r="C3756">
        <v>25.067004812818801</v>
      </c>
      <c r="D3756" t="s">
        <v>974</v>
      </c>
      <c r="E3756" t="s">
        <v>975</v>
      </c>
      <c r="F3756" t="s">
        <v>35</v>
      </c>
    </row>
    <row r="3757" spans="1:6" x14ac:dyDescent="0.2">
      <c r="A3757">
        <v>57642786</v>
      </c>
      <c r="B3757">
        <v>2015</v>
      </c>
      <c r="C3757">
        <v>29.7475112269573</v>
      </c>
      <c r="D3757" t="s">
        <v>974</v>
      </c>
      <c r="E3757" t="s">
        <v>975</v>
      </c>
      <c r="F3757" t="s">
        <v>35</v>
      </c>
    </row>
    <row r="3758" spans="1:6" x14ac:dyDescent="0.2">
      <c r="A3758">
        <v>55383196</v>
      </c>
      <c r="B3758">
        <v>2020</v>
      </c>
      <c r="C3758">
        <v>8.8914959523202004</v>
      </c>
      <c r="D3758" t="s">
        <v>120</v>
      </c>
      <c r="E3758" t="s">
        <v>121</v>
      </c>
      <c r="F3758" t="s">
        <v>94</v>
      </c>
    </row>
    <row r="3759" spans="1:6" x14ac:dyDescent="0.2">
      <c r="A3759">
        <v>55383196</v>
      </c>
      <c r="B3759">
        <v>2019</v>
      </c>
      <c r="C3759">
        <v>9.4969451493103101</v>
      </c>
      <c r="D3759" t="s">
        <v>120</v>
      </c>
      <c r="E3759" t="s">
        <v>121</v>
      </c>
      <c r="F3759" t="s">
        <v>94</v>
      </c>
    </row>
    <row r="3760" spans="1:6" x14ac:dyDescent="0.2">
      <c r="A3760">
        <v>55383196</v>
      </c>
      <c r="B3760">
        <v>2018</v>
      </c>
      <c r="C3760">
        <v>11.4837728947707</v>
      </c>
      <c r="D3760" t="s">
        <v>120</v>
      </c>
      <c r="E3760" t="s">
        <v>121</v>
      </c>
      <c r="F3760" t="s">
        <v>94</v>
      </c>
    </row>
    <row r="3761" spans="1:6" x14ac:dyDescent="0.2">
      <c r="A3761">
        <v>55383196</v>
      </c>
      <c r="B3761">
        <v>2016</v>
      </c>
      <c r="C3761">
        <v>7.6359312116696296</v>
      </c>
      <c r="D3761" t="s">
        <v>120</v>
      </c>
      <c r="E3761" t="s">
        <v>121</v>
      </c>
      <c r="F3761" t="s">
        <v>94</v>
      </c>
    </row>
    <row r="3762" spans="1:6" x14ac:dyDescent="0.2">
      <c r="A3762">
        <v>58392865</v>
      </c>
      <c r="B3762">
        <v>2020</v>
      </c>
      <c r="C3762">
        <v>5.7019613321492297</v>
      </c>
      <c r="D3762" t="s">
        <v>112</v>
      </c>
      <c r="E3762" t="s">
        <v>113</v>
      </c>
      <c r="F3762" t="s">
        <v>94</v>
      </c>
    </row>
    <row r="3763" spans="1:6" x14ac:dyDescent="0.2">
      <c r="A3763">
        <v>58392865</v>
      </c>
      <c r="B3763">
        <v>2019</v>
      </c>
      <c r="C3763">
        <v>8.0182541282554105</v>
      </c>
      <c r="D3763" t="s">
        <v>112</v>
      </c>
      <c r="E3763" t="s">
        <v>113</v>
      </c>
      <c r="F3763" t="s">
        <v>94</v>
      </c>
    </row>
    <row r="3764" spans="1:6" x14ac:dyDescent="0.2">
      <c r="A3764">
        <v>58392865</v>
      </c>
      <c r="B3764">
        <v>2018</v>
      </c>
      <c r="C3764">
        <v>9.3229784177419806</v>
      </c>
      <c r="D3764" t="s">
        <v>112</v>
      </c>
      <c r="E3764" t="s">
        <v>113</v>
      </c>
      <c r="F3764" t="s">
        <v>94</v>
      </c>
    </row>
    <row r="3765" spans="1:6" x14ac:dyDescent="0.2">
      <c r="A3765">
        <v>22205969</v>
      </c>
      <c r="B3765">
        <v>2020</v>
      </c>
      <c r="C3765">
        <v>4.9892161656305696</v>
      </c>
      <c r="D3765" t="s">
        <v>366</v>
      </c>
      <c r="E3765" t="s">
        <v>367</v>
      </c>
      <c r="F3765" t="s">
        <v>94</v>
      </c>
    </row>
    <row r="3766" spans="1:6" x14ac:dyDescent="0.2">
      <c r="A3766">
        <v>22205969</v>
      </c>
      <c r="B3766">
        <v>2019</v>
      </c>
      <c r="C3766">
        <v>5.6477782054179997</v>
      </c>
      <c r="D3766" t="s">
        <v>366</v>
      </c>
      <c r="E3766" t="s">
        <v>367</v>
      </c>
      <c r="F3766" t="s">
        <v>94</v>
      </c>
    </row>
    <row r="3767" spans="1:6" x14ac:dyDescent="0.2">
      <c r="A3767">
        <v>22205969</v>
      </c>
      <c r="B3767">
        <v>2018</v>
      </c>
      <c r="C3767">
        <v>7.1929368209106501</v>
      </c>
      <c r="D3767" t="s">
        <v>366</v>
      </c>
      <c r="E3767" t="s">
        <v>367</v>
      </c>
      <c r="F3767" t="s">
        <v>94</v>
      </c>
    </row>
    <row r="3768" spans="1:6" x14ac:dyDescent="0.2">
      <c r="A3768">
        <v>22205969</v>
      </c>
      <c r="B3768">
        <v>2017</v>
      </c>
      <c r="C3768">
        <v>6.4769858024832097</v>
      </c>
      <c r="D3768" t="s">
        <v>366</v>
      </c>
      <c r="E3768" t="s">
        <v>367</v>
      </c>
      <c r="F3768" t="s">
        <v>94</v>
      </c>
    </row>
    <row r="3769" spans="1:6" x14ac:dyDescent="0.2">
      <c r="A3769">
        <v>39292613</v>
      </c>
      <c r="B3769">
        <v>2020</v>
      </c>
      <c r="C3769">
        <v>13.7168902275492</v>
      </c>
      <c r="D3769" t="s">
        <v>45</v>
      </c>
      <c r="E3769" t="s">
        <v>46</v>
      </c>
      <c r="F3769" t="s">
        <v>42</v>
      </c>
    </row>
    <row r="3770" spans="1:6" x14ac:dyDescent="0.2">
      <c r="A3770">
        <v>39292613</v>
      </c>
      <c r="B3770">
        <v>2019</v>
      </c>
      <c r="C3770">
        <v>14.110285210708399</v>
      </c>
      <c r="D3770" t="s">
        <v>45</v>
      </c>
      <c r="E3770" t="s">
        <v>46</v>
      </c>
      <c r="F3770" t="s">
        <v>42</v>
      </c>
    </row>
    <row r="3771" spans="1:6" x14ac:dyDescent="0.2">
      <c r="A3771">
        <v>39292613</v>
      </c>
      <c r="B3771">
        <v>2018</v>
      </c>
      <c r="C3771">
        <v>15.0668335845755</v>
      </c>
      <c r="D3771" t="s">
        <v>45</v>
      </c>
      <c r="E3771" t="s">
        <v>46</v>
      </c>
      <c r="F3771" t="s">
        <v>42</v>
      </c>
    </row>
    <row r="3772" spans="1:6" x14ac:dyDescent="0.2">
      <c r="A3772">
        <v>39292613</v>
      </c>
      <c r="B3772">
        <v>2017</v>
      </c>
      <c r="C3772">
        <v>13.1682711344093</v>
      </c>
      <c r="D3772" t="s">
        <v>45</v>
      </c>
      <c r="E3772" t="s">
        <v>46</v>
      </c>
      <c r="F3772" t="s">
        <v>42</v>
      </c>
    </row>
    <row r="3773" spans="1:6" x14ac:dyDescent="0.2">
      <c r="A3773">
        <v>39292613</v>
      </c>
      <c r="B3773">
        <v>2016</v>
      </c>
      <c r="C3773">
        <v>11.5379432847582</v>
      </c>
      <c r="D3773" t="s">
        <v>45</v>
      </c>
      <c r="E3773" t="s">
        <v>46</v>
      </c>
      <c r="F3773" t="s">
        <v>42</v>
      </c>
    </row>
    <row r="3774" spans="1:6" x14ac:dyDescent="0.2">
      <c r="A3774">
        <v>39292613</v>
      </c>
      <c r="B3774">
        <v>2015</v>
      </c>
      <c r="C3774">
        <v>12.2239063049321</v>
      </c>
      <c r="D3774" t="s">
        <v>45</v>
      </c>
      <c r="E3774" t="s">
        <v>46</v>
      </c>
      <c r="F3774" t="s">
        <v>42</v>
      </c>
    </row>
    <row r="3775" spans="1:6" x14ac:dyDescent="0.2">
      <c r="A3775">
        <v>39292613</v>
      </c>
      <c r="B3775">
        <v>2014</v>
      </c>
      <c r="C3775">
        <v>13.981644767215</v>
      </c>
      <c r="D3775" t="s">
        <v>45</v>
      </c>
      <c r="E3775" t="s">
        <v>46</v>
      </c>
      <c r="F3775" t="s">
        <v>42</v>
      </c>
    </row>
    <row r="3776" spans="1:6" x14ac:dyDescent="0.2">
      <c r="A3776">
        <v>39292613</v>
      </c>
      <c r="B3776">
        <v>2013</v>
      </c>
      <c r="C3776">
        <v>14.705456650745401</v>
      </c>
      <c r="D3776" t="s">
        <v>45</v>
      </c>
      <c r="E3776" t="s">
        <v>46</v>
      </c>
      <c r="F3776" t="s">
        <v>42</v>
      </c>
    </row>
    <row r="3777" spans="1:6" x14ac:dyDescent="0.2">
      <c r="A3777">
        <v>39292613</v>
      </c>
      <c r="B3777">
        <v>2012</v>
      </c>
      <c r="C3777">
        <v>17.280830157056698</v>
      </c>
      <c r="D3777" t="s">
        <v>45</v>
      </c>
      <c r="E3777" t="s">
        <v>46</v>
      </c>
      <c r="F3777" t="s">
        <v>42</v>
      </c>
    </row>
    <row r="3778" spans="1:6" x14ac:dyDescent="0.2">
      <c r="A3778">
        <v>39292613</v>
      </c>
      <c r="B3778">
        <v>2011</v>
      </c>
      <c r="C3778">
        <v>20.924574209245701</v>
      </c>
      <c r="D3778" t="s">
        <v>45</v>
      </c>
      <c r="E3778" t="s">
        <v>46</v>
      </c>
      <c r="F3778" t="s">
        <v>42</v>
      </c>
    </row>
    <row r="3779" spans="1:6" x14ac:dyDescent="0.2">
      <c r="A3779">
        <v>23249150</v>
      </c>
      <c r="B3779">
        <v>2020</v>
      </c>
      <c r="C3779">
        <v>60.590454545454598</v>
      </c>
      <c r="D3779" t="s">
        <v>2</v>
      </c>
      <c r="E3779" t="s">
        <v>3</v>
      </c>
      <c r="F3779" t="s">
        <v>1126</v>
      </c>
    </row>
    <row r="3780" spans="1:6" x14ac:dyDescent="0.2">
      <c r="A3780">
        <v>23249150</v>
      </c>
      <c r="B3780">
        <v>2019</v>
      </c>
      <c r="C3780">
        <v>69.149749999999997</v>
      </c>
      <c r="D3780" t="s">
        <v>2</v>
      </c>
      <c r="E3780" t="s">
        <v>3</v>
      </c>
      <c r="F3780" t="s">
        <v>1126</v>
      </c>
    </row>
    <row r="3781" spans="1:6" x14ac:dyDescent="0.2">
      <c r="A3781">
        <v>23249150</v>
      </c>
      <c r="B3781">
        <v>2018</v>
      </c>
      <c r="C3781">
        <v>64.923076923076906</v>
      </c>
      <c r="D3781" t="s">
        <v>2</v>
      </c>
      <c r="E3781" t="s">
        <v>3</v>
      </c>
      <c r="F3781" t="s">
        <v>1126</v>
      </c>
    </row>
    <row r="3782" spans="1:6" x14ac:dyDescent="0.2">
      <c r="A3782">
        <v>23249150</v>
      </c>
      <c r="B3782">
        <v>2017</v>
      </c>
      <c r="C3782">
        <v>64.207083333333301</v>
      </c>
      <c r="D3782" t="s">
        <v>2</v>
      </c>
      <c r="E3782" t="s">
        <v>3</v>
      </c>
      <c r="F3782" t="s">
        <v>1126</v>
      </c>
    </row>
    <row r="3783" spans="1:6" x14ac:dyDescent="0.2">
      <c r="A3783">
        <v>23249150</v>
      </c>
      <c r="B3783">
        <v>2016</v>
      </c>
      <c r="C3783">
        <v>59.1696666666667</v>
      </c>
      <c r="D3783" t="s">
        <v>2</v>
      </c>
      <c r="E3783" t="s">
        <v>3</v>
      </c>
      <c r="F3783" t="s">
        <v>1126</v>
      </c>
    </row>
    <row r="3784" spans="1:6" x14ac:dyDescent="0.2">
      <c r="A3784">
        <v>23249150</v>
      </c>
      <c r="B3784">
        <v>2015</v>
      </c>
      <c r="C3784">
        <v>56.332592592592597</v>
      </c>
      <c r="D3784" t="s">
        <v>2</v>
      </c>
      <c r="E3784" t="s">
        <v>3</v>
      </c>
      <c r="F3784" t="s">
        <v>1126</v>
      </c>
    </row>
    <row r="3785" spans="1:6" x14ac:dyDescent="0.2">
      <c r="A3785">
        <v>23249150</v>
      </c>
      <c r="B3785">
        <v>2014</v>
      </c>
      <c r="C3785">
        <v>47</v>
      </c>
      <c r="D3785" t="s">
        <v>2</v>
      </c>
      <c r="E3785" t="s">
        <v>3</v>
      </c>
      <c r="F3785" t="s">
        <v>1126</v>
      </c>
    </row>
    <row r="3786" spans="1:6" x14ac:dyDescent="0.2">
      <c r="A3786">
        <v>23249150</v>
      </c>
      <c r="B3786">
        <v>2013</v>
      </c>
      <c r="C3786">
        <v>45.8333333333333</v>
      </c>
      <c r="D3786" t="s">
        <v>2</v>
      </c>
      <c r="E3786" t="s">
        <v>3</v>
      </c>
      <c r="F3786" t="s">
        <v>1126</v>
      </c>
    </row>
    <row r="3787" spans="1:6" x14ac:dyDescent="0.2">
      <c r="A3787">
        <v>23249150</v>
      </c>
      <c r="B3787">
        <v>2012</v>
      </c>
      <c r="C3787">
        <v>49.285714285714299</v>
      </c>
      <c r="D3787" t="s">
        <v>2</v>
      </c>
      <c r="E3787" t="s">
        <v>3</v>
      </c>
      <c r="F3787" t="s">
        <v>1126</v>
      </c>
    </row>
    <row r="3788" spans="1:6" x14ac:dyDescent="0.2">
      <c r="A3788">
        <v>23249150</v>
      </c>
      <c r="B3788">
        <v>2011</v>
      </c>
      <c r="C3788">
        <v>48</v>
      </c>
      <c r="D3788" t="s">
        <v>2</v>
      </c>
      <c r="E3788" t="s">
        <v>3</v>
      </c>
      <c r="F3788" t="s">
        <v>1126</v>
      </c>
    </row>
    <row r="3789" spans="1:6" x14ac:dyDescent="0.2">
      <c r="A3789">
        <v>23249150</v>
      </c>
      <c r="B3789">
        <v>2010</v>
      </c>
      <c r="C3789">
        <v>35</v>
      </c>
      <c r="D3789" t="s">
        <v>2</v>
      </c>
      <c r="E3789" t="s">
        <v>3</v>
      </c>
      <c r="F3789" t="s">
        <v>1126</v>
      </c>
    </row>
    <row r="3790" spans="1:6" x14ac:dyDescent="0.2">
      <c r="A3790">
        <v>10464589</v>
      </c>
      <c r="B3790">
        <v>2020</v>
      </c>
      <c r="C3790">
        <v>47.804873073964401</v>
      </c>
      <c r="D3790" t="s">
        <v>1083</v>
      </c>
      <c r="E3790" t="s">
        <v>32</v>
      </c>
      <c r="F3790" t="s">
        <v>33</v>
      </c>
    </row>
    <row r="3791" spans="1:6" x14ac:dyDescent="0.2">
      <c r="A3791">
        <v>10464589</v>
      </c>
      <c r="B3791">
        <v>2019</v>
      </c>
      <c r="C3791">
        <v>50.135612520451502</v>
      </c>
      <c r="D3791" t="s">
        <v>1083</v>
      </c>
      <c r="E3791" t="s">
        <v>32</v>
      </c>
      <c r="F3791" t="s">
        <v>33</v>
      </c>
    </row>
    <row r="3792" spans="1:6" x14ac:dyDescent="0.2">
      <c r="A3792">
        <v>10464589</v>
      </c>
      <c r="B3792">
        <v>2018</v>
      </c>
      <c r="C3792">
        <v>53.377290496707197</v>
      </c>
      <c r="D3792" t="s">
        <v>1083</v>
      </c>
      <c r="E3792" t="s">
        <v>32</v>
      </c>
      <c r="F3792" t="s">
        <v>33</v>
      </c>
    </row>
    <row r="3793" spans="1:6" x14ac:dyDescent="0.2">
      <c r="A3793">
        <v>10464589</v>
      </c>
      <c r="B3793">
        <v>2015</v>
      </c>
      <c r="C3793">
        <v>56.800063775510203</v>
      </c>
      <c r="D3793" t="s">
        <v>1083</v>
      </c>
      <c r="E3793" t="s">
        <v>32</v>
      </c>
      <c r="F3793" t="s">
        <v>33</v>
      </c>
    </row>
    <row r="3794" spans="1:6" x14ac:dyDescent="0.2">
      <c r="A3794">
        <v>16874626</v>
      </c>
      <c r="B3794">
        <v>2020</v>
      </c>
      <c r="C3794">
        <v>51.384336120615203</v>
      </c>
      <c r="D3794" t="s">
        <v>620</v>
      </c>
      <c r="E3794" t="s">
        <v>621</v>
      </c>
      <c r="F3794" t="s">
        <v>622</v>
      </c>
    </row>
    <row r="3795" spans="1:6" x14ac:dyDescent="0.2">
      <c r="A3795">
        <v>16874626</v>
      </c>
      <c r="B3795">
        <v>2019</v>
      </c>
      <c r="C3795">
        <v>54.439387112515</v>
      </c>
      <c r="D3795" t="s">
        <v>620</v>
      </c>
      <c r="E3795" t="s">
        <v>621</v>
      </c>
      <c r="F3795" t="s">
        <v>622</v>
      </c>
    </row>
    <row r="3796" spans="1:6" x14ac:dyDescent="0.2">
      <c r="A3796">
        <v>16874626</v>
      </c>
      <c r="B3796">
        <v>2018</v>
      </c>
      <c r="C3796">
        <v>56.153148930780297</v>
      </c>
      <c r="D3796" t="s">
        <v>620</v>
      </c>
      <c r="E3796" t="s">
        <v>621</v>
      </c>
      <c r="F3796" t="s">
        <v>622</v>
      </c>
    </row>
    <row r="3797" spans="1:6" x14ac:dyDescent="0.2">
      <c r="A3797">
        <v>16874626</v>
      </c>
      <c r="B3797">
        <v>2017</v>
      </c>
      <c r="C3797">
        <v>59.226558475942099</v>
      </c>
      <c r="D3797" t="s">
        <v>620</v>
      </c>
      <c r="E3797" t="s">
        <v>621</v>
      </c>
      <c r="F3797" t="s">
        <v>622</v>
      </c>
    </row>
    <row r="3798" spans="1:6" x14ac:dyDescent="0.2">
      <c r="A3798">
        <v>16874626</v>
      </c>
      <c r="B3798">
        <v>2016</v>
      </c>
      <c r="C3798">
        <v>59.400726439131702</v>
      </c>
      <c r="D3798" t="s">
        <v>620</v>
      </c>
      <c r="E3798" t="s">
        <v>621</v>
      </c>
      <c r="F3798" t="s">
        <v>622</v>
      </c>
    </row>
    <row r="3799" spans="1:6" x14ac:dyDescent="0.2">
      <c r="A3799">
        <v>16874626</v>
      </c>
      <c r="B3799">
        <v>2015</v>
      </c>
      <c r="C3799">
        <v>59.617801553285403</v>
      </c>
      <c r="D3799" t="s">
        <v>620</v>
      </c>
      <c r="E3799" t="s">
        <v>621</v>
      </c>
      <c r="F3799" t="s">
        <v>622</v>
      </c>
    </row>
    <row r="3800" spans="1:6" x14ac:dyDescent="0.2">
      <c r="A3800">
        <v>16874626</v>
      </c>
      <c r="B3800">
        <v>2014</v>
      </c>
      <c r="C3800">
        <v>72.938430553202707</v>
      </c>
      <c r="D3800" t="s">
        <v>620</v>
      </c>
      <c r="E3800" t="s">
        <v>621</v>
      </c>
      <c r="F3800" t="s">
        <v>622</v>
      </c>
    </row>
    <row r="3801" spans="1:6" x14ac:dyDescent="0.2">
      <c r="A3801">
        <v>16874626</v>
      </c>
      <c r="B3801">
        <v>2013</v>
      </c>
      <c r="C3801">
        <v>91.8</v>
      </c>
      <c r="D3801" t="s">
        <v>620</v>
      </c>
      <c r="E3801" t="s">
        <v>621</v>
      </c>
      <c r="F3801" t="s">
        <v>622</v>
      </c>
    </row>
    <row r="3802" spans="1:6" x14ac:dyDescent="0.2">
      <c r="A3802">
        <v>16874626</v>
      </c>
      <c r="B3802">
        <v>2012</v>
      </c>
      <c r="C3802">
        <v>53.984962406015001</v>
      </c>
      <c r="D3802" t="s">
        <v>620</v>
      </c>
      <c r="E3802" t="s">
        <v>621</v>
      </c>
      <c r="F3802" t="s">
        <v>622</v>
      </c>
    </row>
    <row r="3803" spans="1:6" x14ac:dyDescent="0.2">
      <c r="A3803">
        <v>16874626</v>
      </c>
      <c r="B3803">
        <v>2011</v>
      </c>
      <c r="C3803">
        <v>66.115702479338907</v>
      </c>
      <c r="D3803" t="s">
        <v>620</v>
      </c>
      <c r="E3803" t="s">
        <v>621</v>
      </c>
      <c r="F3803" t="s">
        <v>622</v>
      </c>
    </row>
    <row r="3804" spans="1:6" x14ac:dyDescent="0.2">
      <c r="A3804">
        <v>16874626</v>
      </c>
      <c r="B3804">
        <v>2010</v>
      </c>
      <c r="C3804">
        <v>40.816326530612201</v>
      </c>
      <c r="D3804" t="s">
        <v>620</v>
      </c>
      <c r="E3804" t="s">
        <v>621</v>
      </c>
      <c r="F3804" t="s">
        <v>622</v>
      </c>
    </row>
    <row r="3805" spans="1:6" x14ac:dyDescent="0.2">
      <c r="A3805">
        <v>95957126</v>
      </c>
      <c r="B3805">
        <v>2020</v>
      </c>
      <c r="C3805">
        <v>62.8</v>
      </c>
      <c r="D3805" t="s">
        <v>962</v>
      </c>
      <c r="E3805" t="s">
        <v>494</v>
      </c>
      <c r="F3805" t="s">
        <v>1126</v>
      </c>
    </row>
    <row r="3806" spans="1:6" x14ac:dyDescent="0.2">
      <c r="A3806">
        <v>95957126</v>
      </c>
      <c r="B3806">
        <v>2018</v>
      </c>
      <c r="C3806">
        <v>70.211250000000007</v>
      </c>
      <c r="D3806" t="s">
        <v>962</v>
      </c>
      <c r="E3806" t="s">
        <v>494</v>
      </c>
      <c r="F3806" t="s">
        <v>1126</v>
      </c>
    </row>
    <row r="3807" spans="1:6" x14ac:dyDescent="0.2">
      <c r="A3807">
        <v>95957126</v>
      </c>
      <c r="B3807">
        <v>2017</v>
      </c>
      <c r="C3807">
        <v>64.857142857142904</v>
      </c>
      <c r="D3807" t="s">
        <v>962</v>
      </c>
      <c r="E3807" t="s">
        <v>494</v>
      </c>
      <c r="F3807" t="s">
        <v>1126</v>
      </c>
    </row>
    <row r="3808" spans="1:6" x14ac:dyDescent="0.2">
      <c r="A3808">
        <v>95957126</v>
      </c>
      <c r="B3808">
        <v>2016</v>
      </c>
      <c r="C3808">
        <v>47</v>
      </c>
      <c r="D3808" t="s">
        <v>962</v>
      </c>
      <c r="E3808" t="s">
        <v>494</v>
      </c>
      <c r="F3808" t="s">
        <v>1126</v>
      </c>
    </row>
    <row r="3809" spans="1:6" x14ac:dyDescent="0.2">
      <c r="A3809">
        <v>19481263</v>
      </c>
      <c r="B3809">
        <v>2020</v>
      </c>
      <c r="C3809">
        <v>61.122500000000002</v>
      </c>
      <c r="D3809" t="s">
        <v>835</v>
      </c>
      <c r="E3809" t="s">
        <v>836</v>
      </c>
      <c r="F3809" t="s">
        <v>1126</v>
      </c>
    </row>
    <row r="3810" spans="1:6" x14ac:dyDescent="0.2">
      <c r="A3810">
        <v>19481263</v>
      </c>
      <c r="B3810">
        <v>2019</v>
      </c>
      <c r="C3810">
        <v>69.1666666666667</v>
      </c>
      <c r="D3810" t="s">
        <v>835</v>
      </c>
      <c r="E3810" t="s">
        <v>836</v>
      </c>
      <c r="F3810" t="s">
        <v>1126</v>
      </c>
    </row>
    <row r="3811" spans="1:6" x14ac:dyDescent="0.2">
      <c r="A3811">
        <v>19481263</v>
      </c>
      <c r="B3811">
        <v>2018</v>
      </c>
      <c r="C3811">
        <v>69.623750000000001</v>
      </c>
      <c r="D3811" t="s">
        <v>835</v>
      </c>
      <c r="E3811" t="s">
        <v>836</v>
      </c>
      <c r="F3811" t="s">
        <v>1126</v>
      </c>
    </row>
    <row r="3812" spans="1:6" x14ac:dyDescent="0.2">
      <c r="A3812">
        <v>19481263</v>
      </c>
      <c r="B3812">
        <v>2017</v>
      </c>
      <c r="C3812">
        <v>54.8</v>
      </c>
      <c r="D3812" t="s">
        <v>835</v>
      </c>
      <c r="E3812" t="s">
        <v>836</v>
      </c>
      <c r="F3812" t="s">
        <v>1126</v>
      </c>
    </row>
    <row r="3813" spans="1:6" x14ac:dyDescent="0.2">
      <c r="A3813">
        <v>19481263</v>
      </c>
      <c r="B3813">
        <v>2016</v>
      </c>
      <c r="C3813">
        <v>54.7222222222222</v>
      </c>
      <c r="D3813" t="s">
        <v>835</v>
      </c>
      <c r="E3813" t="s">
        <v>836</v>
      </c>
      <c r="F3813" t="s">
        <v>1126</v>
      </c>
    </row>
    <row r="3814" spans="1:6" x14ac:dyDescent="0.2">
      <c r="A3814">
        <v>19481263</v>
      </c>
      <c r="B3814">
        <v>2015</v>
      </c>
      <c r="C3814">
        <v>50.198</v>
      </c>
      <c r="D3814" t="s">
        <v>835</v>
      </c>
      <c r="E3814" t="s">
        <v>836</v>
      </c>
      <c r="F3814" t="s">
        <v>1126</v>
      </c>
    </row>
    <row r="3815" spans="1:6" x14ac:dyDescent="0.2">
      <c r="A3815">
        <v>88160723</v>
      </c>
      <c r="B3815">
        <v>2019</v>
      </c>
      <c r="C3815">
        <v>72.998000000000005</v>
      </c>
      <c r="D3815" t="s">
        <v>997</v>
      </c>
      <c r="E3815" t="s">
        <v>581</v>
      </c>
      <c r="F3815" t="s">
        <v>1126</v>
      </c>
    </row>
    <row r="3816" spans="1:6" x14ac:dyDescent="0.2">
      <c r="A3816">
        <v>95268470</v>
      </c>
      <c r="B3816">
        <v>2019</v>
      </c>
      <c r="C3816">
        <v>53.5</v>
      </c>
      <c r="D3816" t="s">
        <v>997</v>
      </c>
      <c r="E3816" t="s">
        <v>998</v>
      </c>
      <c r="F3816" t="s">
        <v>1126</v>
      </c>
    </row>
    <row r="3817" spans="1:6" x14ac:dyDescent="0.2">
      <c r="A3817">
        <v>95268470</v>
      </c>
      <c r="B3817">
        <v>2018</v>
      </c>
      <c r="C3817">
        <v>62</v>
      </c>
      <c r="D3817" t="s">
        <v>997</v>
      </c>
      <c r="E3817" t="s">
        <v>998</v>
      </c>
      <c r="F3817" t="s">
        <v>1126</v>
      </c>
    </row>
    <row r="3818" spans="1:6" x14ac:dyDescent="0.2">
      <c r="A3818">
        <v>88160723</v>
      </c>
      <c r="B3818">
        <v>2017</v>
      </c>
      <c r="C3818">
        <v>51.664999999999999</v>
      </c>
      <c r="D3818" t="s">
        <v>997</v>
      </c>
      <c r="E3818" t="s">
        <v>581</v>
      </c>
      <c r="F3818" t="s">
        <v>1126</v>
      </c>
    </row>
    <row r="3819" spans="1:6" x14ac:dyDescent="0.2">
      <c r="A3819">
        <v>36593585</v>
      </c>
      <c r="B3819">
        <v>2020</v>
      </c>
      <c r="C3819">
        <v>48.1593390758594</v>
      </c>
      <c r="D3819" t="s">
        <v>432</v>
      </c>
      <c r="E3819" t="s">
        <v>433</v>
      </c>
      <c r="F3819" t="s">
        <v>434</v>
      </c>
    </row>
    <row r="3820" spans="1:6" x14ac:dyDescent="0.2">
      <c r="A3820">
        <v>36593585</v>
      </c>
      <c r="B3820">
        <v>2019</v>
      </c>
      <c r="C3820">
        <v>41.7226230078887</v>
      </c>
      <c r="D3820" t="s">
        <v>432</v>
      </c>
      <c r="E3820" t="s">
        <v>433</v>
      </c>
      <c r="F3820" t="s">
        <v>434</v>
      </c>
    </row>
    <row r="3821" spans="1:6" x14ac:dyDescent="0.2">
      <c r="A3821">
        <v>36593585</v>
      </c>
      <c r="B3821">
        <v>2018</v>
      </c>
      <c r="C3821">
        <v>72.096348660766495</v>
      </c>
      <c r="D3821" t="s">
        <v>432</v>
      </c>
      <c r="E3821" t="s">
        <v>433</v>
      </c>
      <c r="F3821" t="s">
        <v>434</v>
      </c>
    </row>
    <row r="3822" spans="1:6" x14ac:dyDescent="0.2">
      <c r="A3822">
        <v>36593585</v>
      </c>
      <c r="B3822">
        <v>2016</v>
      </c>
      <c r="C3822">
        <v>40.902831325063403</v>
      </c>
      <c r="D3822" t="s">
        <v>432</v>
      </c>
      <c r="E3822" t="s">
        <v>433</v>
      </c>
      <c r="F3822" t="s">
        <v>434</v>
      </c>
    </row>
    <row r="3823" spans="1:6" x14ac:dyDescent="0.2">
      <c r="A3823">
        <v>65382290</v>
      </c>
      <c r="B3823">
        <v>2020</v>
      </c>
      <c r="C3823">
        <v>62.100806545607099</v>
      </c>
      <c r="D3823" t="s">
        <v>299</v>
      </c>
      <c r="E3823" t="s">
        <v>300</v>
      </c>
      <c r="F3823" t="s">
        <v>33</v>
      </c>
    </row>
    <row r="3824" spans="1:6" x14ac:dyDescent="0.2">
      <c r="A3824">
        <v>65382290</v>
      </c>
      <c r="B3824">
        <v>2019</v>
      </c>
      <c r="C3824">
        <v>51.822276483528498</v>
      </c>
      <c r="D3824" t="s">
        <v>299</v>
      </c>
      <c r="E3824" t="s">
        <v>300</v>
      </c>
      <c r="F3824" t="s">
        <v>33</v>
      </c>
    </row>
    <row r="3825" spans="1:6" x14ac:dyDescent="0.2">
      <c r="A3825">
        <v>65382290</v>
      </c>
      <c r="B3825">
        <v>2018</v>
      </c>
      <c r="C3825">
        <v>57.526515036240099</v>
      </c>
      <c r="D3825" t="s">
        <v>299</v>
      </c>
      <c r="E3825" t="s">
        <v>300</v>
      </c>
      <c r="F3825" t="s">
        <v>33</v>
      </c>
    </row>
    <row r="3826" spans="1:6" x14ac:dyDescent="0.2">
      <c r="A3826">
        <v>65382290</v>
      </c>
      <c r="B3826">
        <v>2017</v>
      </c>
      <c r="C3826">
        <v>48.998391219488298</v>
      </c>
      <c r="D3826" t="s">
        <v>299</v>
      </c>
      <c r="E3826" t="s">
        <v>300</v>
      </c>
      <c r="F3826" t="s">
        <v>33</v>
      </c>
    </row>
    <row r="3827" spans="1:6" x14ac:dyDescent="0.2">
      <c r="A3827">
        <v>65382290</v>
      </c>
      <c r="B3827">
        <v>2015</v>
      </c>
      <c r="C3827">
        <v>47.710535106899897</v>
      </c>
      <c r="D3827" t="s">
        <v>299</v>
      </c>
      <c r="E3827" t="s">
        <v>300</v>
      </c>
      <c r="F3827" t="s">
        <v>33</v>
      </c>
    </row>
    <row r="3828" spans="1:6" x14ac:dyDescent="0.2">
      <c r="A3828">
        <v>65382290</v>
      </c>
      <c r="B3828">
        <v>2014</v>
      </c>
      <c r="C3828">
        <v>45.697438732264601</v>
      </c>
      <c r="D3828" t="s">
        <v>299</v>
      </c>
      <c r="E3828" t="s">
        <v>300</v>
      </c>
      <c r="F3828" t="s">
        <v>33</v>
      </c>
    </row>
    <row r="3829" spans="1:6" x14ac:dyDescent="0.2">
      <c r="A3829">
        <v>65382290</v>
      </c>
      <c r="B3829">
        <v>2013</v>
      </c>
      <c r="C3829">
        <v>46.153846153846203</v>
      </c>
      <c r="D3829" t="s">
        <v>299</v>
      </c>
      <c r="E3829" t="s">
        <v>300</v>
      </c>
      <c r="F3829" t="s">
        <v>33</v>
      </c>
    </row>
    <row r="3830" spans="1:6" x14ac:dyDescent="0.2">
      <c r="A3830">
        <v>65382290</v>
      </c>
      <c r="B3830">
        <v>2012</v>
      </c>
      <c r="C3830">
        <v>48.048543689320397</v>
      </c>
      <c r="D3830" t="s">
        <v>299</v>
      </c>
      <c r="E3830" t="s">
        <v>300</v>
      </c>
      <c r="F3830" t="s">
        <v>33</v>
      </c>
    </row>
    <row r="3831" spans="1:6" x14ac:dyDescent="0.2">
      <c r="A3831">
        <v>65382290</v>
      </c>
      <c r="B3831">
        <v>2011</v>
      </c>
      <c r="C3831">
        <v>41.237113402061901</v>
      </c>
      <c r="D3831" t="s">
        <v>299</v>
      </c>
      <c r="E3831" t="s">
        <v>300</v>
      </c>
      <c r="F3831" t="s">
        <v>33</v>
      </c>
    </row>
    <row r="3832" spans="1:6" x14ac:dyDescent="0.2">
      <c r="A3832">
        <v>65382290</v>
      </c>
      <c r="B3832">
        <v>2010</v>
      </c>
      <c r="C3832">
        <v>33.974358974358999</v>
      </c>
      <c r="D3832" t="s">
        <v>299</v>
      </c>
      <c r="E3832" t="s">
        <v>300</v>
      </c>
      <c r="F3832" t="s">
        <v>33</v>
      </c>
    </row>
    <row r="3833" spans="1:6" x14ac:dyDescent="0.2">
      <c r="A3833">
        <v>96121490</v>
      </c>
      <c r="B3833">
        <v>2019</v>
      </c>
      <c r="C3833">
        <v>45</v>
      </c>
      <c r="D3833" t="s">
        <v>820</v>
      </c>
      <c r="E3833" t="s">
        <v>581</v>
      </c>
      <c r="F3833" t="s">
        <v>1126</v>
      </c>
    </row>
    <row r="3834" spans="1:6" x14ac:dyDescent="0.2">
      <c r="A3834">
        <v>12324526</v>
      </c>
      <c r="B3834">
        <v>2020</v>
      </c>
      <c r="C3834">
        <v>13.778546252443499</v>
      </c>
      <c r="D3834" t="s">
        <v>248</v>
      </c>
      <c r="E3834" t="s">
        <v>249</v>
      </c>
      <c r="F3834" t="s">
        <v>42</v>
      </c>
    </row>
    <row r="3835" spans="1:6" x14ac:dyDescent="0.2">
      <c r="A3835">
        <v>12324526</v>
      </c>
      <c r="B3835">
        <v>2019</v>
      </c>
      <c r="C3835">
        <v>13.5338541952628</v>
      </c>
      <c r="D3835" t="s">
        <v>248</v>
      </c>
      <c r="E3835" t="s">
        <v>249</v>
      </c>
      <c r="F3835" t="s">
        <v>42</v>
      </c>
    </row>
    <row r="3836" spans="1:6" x14ac:dyDescent="0.2">
      <c r="A3836">
        <v>12324526</v>
      </c>
      <c r="B3836">
        <v>2018</v>
      </c>
      <c r="C3836">
        <v>14.543317917419699</v>
      </c>
      <c r="D3836" t="s">
        <v>248</v>
      </c>
      <c r="E3836" t="s">
        <v>249</v>
      </c>
      <c r="F3836" t="s">
        <v>42</v>
      </c>
    </row>
    <row r="3837" spans="1:6" x14ac:dyDescent="0.2">
      <c r="A3837">
        <v>12324526</v>
      </c>
      <c r="B3837">
        <v>2017</v>
      </c>
      <c r="C3837">
        <v>13.3941979957951</v>
      </c>
      <c r="D3837" t="s">
        <v>248</v>
      </c>
      <c r="E3837" t="s">
        <v>249</v>
      </c>
      <c r="F3837" t="s">
        <v>42</v>
      </c>
    </row>
    <row r="3838" spans="1:6" x14ac:dyDescent="0.2">
      <c r="A3838">
        <v>12324526</v>
      </c>
      <c r="B3838">
        <v>2016</v>
      </c>
      <c r="C3838">
        <v>11.437231473290099</v>
      </c>
      <c r="D3838" t="s">
        <v>248</v>
      </c>
      <c r="E3838" t="s">
        <v>249</v>
      </c>
      <c r="F3838" t="s">
        <v>42</v>
      </c>
    </row>
    <row r="3839" spans="1:6" x14ac:dyDescent="0.2">
      <c r="A3839">
        <v>12324526</v>
      </c>
      <c r="B3839">
        <v>2015</v>
      </c>
      <c r="C3839">
        <v>11.5081705702489</v>
      </c>
      <c r="D3839" t="s">
        <v>248</v>
      </c>
      <c r="E3839" t="s">
        <v>249</v>
      </c>
      <c r="F3839" t="s">
        <v>42</v>
      </c>
    </row>
    <row r="3840" spans="1:6" x14ac:dyDescent="0.2">
      <c r="A3840">
        <v>12324526</v>
      </c>
      <c r="B3840">
        <v>2014</v>
      </c>
      <c r="C3840">
        <v>14.062482878025801</v>
      </c>
      <c r="D3840" t="s">
        <v>248</v>
      </c>
      <c r="E3840" t="s">
        <v>249</v>
      </c>
      <c r="F3840" t="s">
        <v>42</v>
      </c>
    </row>
    <row r="3841" spans="1:6" x14ac:dyDescent="0.2">
      <c r="A3841">
        <v>12324526</v>
      </c>
      <c r="B3841">
        <v>2013</v>
      </c>
      <c r="C3841">
        <v>16.590678824721401</v>
      </c>
      <c r="D3841" t="s">
        <v>248</v>
      </c>
      <c r="E3841" t="s">
        <v>249</v>
      </c>
      <c r="F3841" t="s">
        <v>42</v>
      </c>
    </row>
    <row r="3842" spans="1:6" x14ac:dyDescent="0.2">
      <c r="A3842">
        <v>12324526</v>
      </c>
      <c r="B3842">
        <v>2012</v>
      </c>
      <c r="C3842">
        <v>15.662557781201899</v>
      </c>
      <c r="D3842" t="s">
        <v>248</v>
      </c>
      <c r="E3842" t="s">
        <v>249</v>
      </c>
      <c r="F3842" t="s">
        <v>42</v>
      </c>
    </row>
    <row r="3843" spans="1:6" x14ac:dyDescent="0.2">
      <c r="A3843">
        <v>12324526</v>
      </c>
      <c r="B3843">
        <v>2011</v>
      </c>
      <c r="C3843">
        <v>20.620437956204398</v>
      </c>
      <c r="D3843" t="s">
        <v>248</v>
      </c>
      <c r="E3843" t="s">
        <v>249</v>
      </c>
      <c r="F3843" t="s">
        <v>42</v>
      </c>
    </row>
    <row r="3844" spans="1:6" x14ac:dyDescent="0.2">
      <c r="A3844">
        <v>25842308</v>
      </c>
      <c r="B3844">
        <v>2018</v>
      </c>
      <c r="C3844">
        <v>13.97569579742</v>
      </c>
      <c r="D3844" t="s">
        <v>548</v>
      </c>
      <c r="E3844" t="s">
        <v>549</v>
      </c>
      <c r="F3844" t="s">
        <v>119</v>
      </c>
    </row>
    <row r="3845" spans="1:6" x14ac:dyDescent="0.2">
      <c r="A3845">
        <v>37334853</v>
      </c>
      <c r="B3845">
        <v>2020</v>
      </c>
      <c r="C3845">
        <v>7.1922466803245904</v>
      </c>
      <c r="D3845" t="s">
        <v>100</v>
      </c>
      <c r="E3845" t="s">
        <v>101</v>
      </c>
      <c r="F3845" t="s">
        <v>94</v>
      </c>
    </row>
    <row r="3846" spans="1:6" x14ac:dyDescent="0.2">
      <c r="A3846">
        <v>37334853</v>
      </c>
      <c r="B3846">
        <v>2019</v>
      </c>
      <c r="C3846">
        <v>7.90635824643073</v>
      </c>
      <c r="D3846" t="s">
        <v>100</v>
      </c>
      <c r="E3846" t="s">
        <v>101</v>
      </c>
      <c r="F3846" t="s">
        <v>94</v>
      </c>
    </row>
    <row r="3847" spans="1:6" x14ac:dyDescent="0.2">
      <c r="A3847">
        <v>37334853</v>
      </c>
      <c r="B3847">
        <v>2018</v>
      </c>
      <c r="C3847">
        <v>8.1380811063056093</v>
      </c>
      <c r="D3847" t="s">
        <v>100</v>
      </c>
      <c r="E3847" t="s">
        <v>101</v>
      </c>
      <c r="F3847" t="s">
        <v>94</v>
      </c>
    </row>
    <row r="3848" spans="1:6" x14ac:dyDescent="0.2">
      <c r="A3848">
        <v>37334853</v>
      </c>
      <c r="B3848">
        <v>2017</v>
      </c>
      <c r="C3848">
        <v>7.7788498492289904</v>
      </c>
      <c r="D3848" t="s">
        <v>100</v>
      </c>
      <c r="E3848" t="s">
        <v>101</v>
      </c>
      <c r="F3848" t="s">
        <v>94</v>
      </c>
    </row>
    <row r="3849" spans="1:6" x14ac:dyDescent="0.2">
      <c r="A3849">
        <v>37334853</v>
      </c>
      <c r="B3849">
        <v>2016</v>
      </c>
      <c r="C3849">
        <v>5.8858051009016599</v>
      </c>
      <c r="D3849" t="s">
        <v>100</v>
      </c>
      <c r="E3849" t="s">
        <v>101</v>
      </c>
      <c r="F3849" t="s">
        <v>94</v>
      </c>
    </row>
    <row r="3850" spans="1:6" x14ac:dyDescent="0.2">
      <c r="A3850">
        <v>37334853</v>
      </c>
      <c r="B3850">
        <v>2015</v>
      </c>
      <c r="C3850">
        <v>8.6530003243391604</v>
      </c>
      <c r="D3850" t="s">
        <v>100</v>
      </c>
      <c r="E3850" t="s">
        <v>101</v>
      </c>
      <c r="F3850" t="s">
        <v>94</v>
      </c>
    </row>
    <row r="3851" spans="1:6" x14ac:dyDescent="0.2">
      <c r="A3851">
        <v>37334853</v>
      </c>
      <c r="B3851">
        <v>2014</v>
      </c>
      <c r="C3851">
        <v>10.0224789885887</v>
      </c>
      <c r="D3851" t="s">
        <v>100</v>
      </c>
      <c r="E3851" t="s">
        <v>101</v>
      </c>
      <c r="F3851" t="s">
        <v>94</v>
      </c>
    </row>
    <row r="3852" spans="1:6" x14ac:dyDescent="0.2">
      <c r="A3852">
        <v>37334853</v>
      </c>
      <c r="B3852">
        <v>2013</v>
      </c>
      <c r="C3852">
        <v>10.9717868338558</v>
      </c>
      <c r="D3852" t="s">
        <v>100</v>
      </c>
      <c r="E3852" t="s">
        <v>101</v>
      </c>
      <c r="F3852" t="s">
        <v>94</v>
      </c>
    </row>
    <row r="3853" spans="1:6" x14ac:dyDescent="0.2">
      <c r="A3853">
        <v>18274537</v>
      </c>
      <c r="B3853">
        <v>2020</v>
      </c>
      <c r="C3853">
        <v>17.6851943581288</v>
      </c>
      <c r="D3853" t="s">
        <v>278</v>
      </c>
      <c r="E3853"/>
      <c r="F3853" t="s">
        <v>279</v>
      </c>
    </row>
    <row r="3854" spans="1:6" x14ac:dyDescent="0.2">
      <c r="A3854">
        <v>18274537</v>
      </c>
      <c r="B3854">
        <v>2019</v>
      </c>
      <c r="C3854">
        <v>15.210884317418399</v>
      </c>
      <c r="D3854" t="s">
        <v>278</v>
      </c>
      <c r="E3854"/>
      <c r="F3854" t="s">
        <v>279</v>
      </c>
    </row>
    <row r="3855" spans="1:6" x14ac:dyDescent="0.2">
      <c r="A3855">
        <v>18274537</v>
      </c>
      <c r="B3855">
        <v>2018</v>
      </c>
      <c r="C3855">
        <v>16.4799828955571</v>
      </c>
      <c r="D3855" t="s">
        <v>278</v>
      </c>
      <c r="E3855"/>
      <c r="F3855" t="s">
        <v>279</v>
      </c>
    </row>
    <row r="3856" spans="1:6" x14ac:dyDescent="0.2">
      <c r="A3856">
        <v>18274537</v>
      </c>
      <c r="B3856">
        <v>2017</v>
      </c>
      <c r="C3856">
        <v>12.778527949733901</v>
      </c>
      <c r="D3856" t="s">
        <v>278</v>
      </c>
      <c r="E3856"/>
      <c r="F3856" t="s">
        <v>279</v>
      </c>
    </row>
    <row r="3857" spans="1:6" x14ac:dyDescent="0.2">
      <c r="A3857">
        <v>18274537</v>
      </c>
      <c r="B3857">
        <v>2016</v>
      </c>
      <c r="C3857">
        <v>14.573676965632099</v>
      </c>
      <c r="D3857" t="s">
        <v>278</v>
      </c>
      <c r="E3857"/>
      <c r="F3857" t="s">
        <v>279</v>
      </c>
    </row>
    <row r="3858" spans="1:6" x14ac:dyDescent="0.2">
      <c r="A3858">
        <v>18274537</v>
      </c>
      <c r="B3858">
        <v>2015</v>
      </c>
      <c r="C3858">
        <v>14.9064515679637</v>
      </c>
      <c r="D3858" t="s">
        <v>278</v>
      </c>
      <c r="E3858"/>
      <c r="F3858" t="s">
        <v>279</v>
      </c>
    </row>
    <row r="3859" spans="1:6" x14ac:dyDescent="0.2">
      <c r="A3859">
        <v>18274537</v>
      </c>
      <c r="B3859">
        <v>2014</v>
      </c>
      <c r="C3859">
        <v>16.3270706769061</v>
      </c>
      <c r="D3859" t="s">
        <v>278</v>
      </c>
      <c r="E3859"/>
      <c r="F3859" t="s">
        <v>279</v>
      </c>
    </row>
    <row r="3860" spans="1:6" x14ac:dyDescent="0.2">
      <c r="A3860">
        <v>18274537</v>
      </c>
      <c r="B3860">
        <v>2013</v>
      </c>
      <c r="C3860">
        <v>20.498809238813301</v>
      </c>
      <c r="D3860" t="s">
        <v>278</v>
      </c>
      <c r="E3860"/>
      <c r="F3860" t="s">
        <v>279</v>
      </c>
    </row>
    <row r="3861" spans="1:6" x14ac:dyDescent="0.2">
      <c r="A3861">
        <v>18274537</v>
      </c>
      <c r="B3861">
        <v>2012</v>
      </c>
      <c r="C3861">
        <v>24.2749428593476</v>
      </c>
      <c r="D3861" t="s">
        <v>278</v>
      </c>
      <c r="E3861"/>
      <c r="F3861" t="s">
        <v>279</v>
      </c>
    </row>
    <row r="3862" spans="1:6" x14ac:dyDescent="0.2">
      <c r="A3862">
        <v>97584540</v>
      </c>
      <c r="B3862">
        <v>2017</v>
      </c>
      <c r="C3862">
        <v>85.626759506454803</v>
      </c>
      <c r="D3862" t="s">
        <v>487</v>
      </c>
      <c r="E3862" t="s">
        <v>488</v>
      </c>
      <c r="F3862" t="s">
        <v>385</v>
      </c>
    </row>
    <row r="3863" spans="1:6" x14ac:dyDescent="0.2">
      <c r="A3863">
        <v>41801924</v>
      </c>
      <c r="B3863">
        <v>2016</v>
      </c>
      <c r="C3863">
        <v>30.734701800359101</v>
      </c>
      <c r="D3863" t="s">
        <v>766</v>
      </c>
      <c r="E3863" t="s">
        <v>18</v>
      </c>
      <c r="F3863" t="s">
        <v>19</v>
      </c>
    </row>
    <row r="3864" spans="1:6" x14ac:dyDescent="0.2">
      <c r="A3864">
        <v>78932829</v>
      </c>
      <c r="B3864">
        <v>2019</v>
      </c>
      <c r="C3864">
        <v>38.072931713599502</v>
      </c>
      <c r="D3864" t="s">
        <v>362</v>
      </c>
      <c r="E3864" t="s">
        <v>363</v>
      </c>
      <c r="F3864" t="s">
        <v>172</v>
      </c>
    </row>
    <row r="3865" spans="1:6" x14ac:dyDescent="0.2">
      <c r="A3865">
        <v>92025672</v>
      </c>
      <c r="B3865">
        <v>2020</v>
      </c>
      <c r="C3865">
        <v>26.122679367639101</v>
      </c>
      <c r="D3865" t="s">
        <v>171</v>
      </c>
      <c r="E3865"/>
      <c r="F3865" t="s">
        <v>172</v>
      </c>
    </row>
    <row r="3866" spans="1:6" x14ac:dyDescent="0.2">
      <c r="A3866">
        <v>92025672</v>
      </c>
      <c r="B3866">
        <v>2019</v>
      </c>
      <c r="C3866">
        <v>24.090497809493801</v>
      </c>
      <c r="D3866" t="s">
        <v>171</v>
      </c>
      <c r="E3866"/>
      <c r="F3866" t="s">
        <v>172</v>
      </c>
    </row>
    <row r="3867" spans="1:6" x14ac:dyDescent="0.2">
      <c r="A3867">
        <v>92025672</v>
      </c>
      <c r="B3867">
        <v>2018</v>
      </c>
      <c r="C3867">
        <v>26.342022047002999</v>
      </c>
      <c r="D3867" t="s">
        <v>171</v>
      </c>
      <c r="E3867"/>
      <c r="F3867" t="s">
        <v>172</v>
      </c>
    </row>
    <row r="3868" spans="1:6" x14ac:dyDescent="0.2">
      <c r="A3868">
        <v>92025672</v>
      </c>
      <c r="B3868">
        <v>2017</v>
      </c>
      <c r="C3868">
        <v>24.467264554283101</v>
      </c>
      <c r="D3868" t="s">
        <v>171</v>
      </c>
      <c r="E3868"/>
      <c r="F3868" t="s">
        <v>172</v>
      </c>
    </row>
    <row r="3869" spans="1:6" x14ac:dyDescent="0.2">
      <c r="A3869">
        <v>92025672</v>
      </c>
      <c r="B3869">
        <v>2016</v>
      </c>
      <c r="C3869">
        <v>23.462375121882602</v>
      </c>
      <c r="D3869" t="s">
        <v>171</v>
      </c>
      <c r="E3869"/>
      <c r="F3869" t="s">
        <v>172</v>
      </c>
    </row>
    <row r="3870" spans="1:6" x14ac:dyDescent="0.2">
      <c r="A3870">
        <v>92025672</v>
      </c>
      <c r="B3870">
        <v>2015</v>
      </c>
      <c r="C3870">
        <v>23.896069555113201</v>
      </c>
      <c r="D3870" t="s">
        <v>171</v>
      </c>
      <c r="E3870"/>
      <c r="F3870" t="s">
        <v>172</v>
      </c>
    </row>
    <row r="3871" spans="1:6" x14ac:dyDescent="0.2">
      <c r="A3871">
        <v>92025672</v>
      </c>
      <c r="B3871">
        <v>2014</v>
      </c>
      <c r="C3871">
        <v>26.4183436880008</v>
      </c>
      <c r="D3871" t="s">
        <v>171</v>
      </c>
      <c r="E3871"/>
      <c r="F3871" t="s">
        <v>172</v>
      </c>
    </row>
    <row r="3872" spans="1:6" x14ac:dyDescent="0.2">
      <c r="A3872">
        <v>92025672</v>
      </c>
      <c r="B3872">
        <v>2013</v>
      </c>
      <c r="C3872">
        <v>27.2025552302369</v>
      </c>
      <c r="D3872" t="s">
        <v>171</v>
      </c>
      <c r="E3872"/>
      <c r="F3872" t="s">
        <v>172</v>
      </c>
    </row>
    <row r="3873" spans="1:6" x14ac:dyDescent="0.2">
      <c r="A3873">
        <v>92025672</v>
      </c>
      <c r="B3873">
        <v>2012</v>
      </c>
      <c r="C3873">
        <v>24.590163934426201</v>
      </c>
      <c r="D3873" t="s">
        <v>171</v>
      </c>
      <c r="E3873"/>
      <c r="F3873" t="s">
        <v>172</v>
      </c>
    </row>
    <row r="3874" spans="1:6" x14ac:dyDescent="0.2">
      <c r="A3874">
        <v>92025672</v>
      </c>
      <c r="B3874">
        <v>2011</v>
      </c>
      <c r="C3874">
        <v>28.0385322092521</v>
      </c>
      <c r="D3874" t="s">
        <v>171</v>
      </c>
      <c r="E3874"/>
      <c r="F3874" t="s">
        <v>172</v>
      </c>
    </row>
    <row r="3875" spans="1:6" x14ac:dyDescent="0.2">
      <c r="A3875">
        <v>92025672</v>
      </c>
      <c r="B3875">
        <v>2010</v>
      </c>
      <c r="C3875">
        <v>24.6913580246914</v>
      </c>
      <c r="D3875" t="s">
        <v>171</v>
      </c>
      <c r="E3875"/>
      <c r="F3875" t="s">
        <v>172</v>
      </c>
    </row>
    <row r="3876" spans="1:6" x14ac:dyDescent="0.2">
      <c r="A3876">
        <v>55030238</v>
      </c>
      <c r="B3876">
        <v>2020</v>
      </c>
      <c r="C3876">
        <v>23.6344867617048</v>
      </c>
      <c r="D3876" t="s">
        <v>944</v>
      </c>
      <c r="E3876" t="s">
        <v>518</v>
      </c>
      <c r="F3876" t="s">
        <v>183</v>
      </c>
    </row>
    <row r="3877" spans="1:6" x14ac:dyDescent="0.2">
      <c r="A3877">
        <v>55030238</v>
      </c>
      <c r="B3877">
        <v>2019</v>
      </c>
      <c r="C3877">
        <v>24.839670061888899</v>
      </c>
      <c r="D3877" t="s">
        <v>944</v>
      </c>
      <c r="E3877" t="s">
        <v>518</v>
      </c>
      <c r="F3877" t="s">
        <v>183</v>
      </c>
    </row>
    <row r="3878" spans="1:6" x14ac:dyDescent="0.2">
      <c r="A3878">
        <v>55030238</v>
      </c>
      <c r="B3878">
        <v>2018</v>
      </c>
      <c r="C3878">
        <v>22.461308140569699</v>
      </c>
      <c r="D3878" t="s">
        <v>944</v>
      </c>
      <c r="E3878" t="s">
        <v>518</v>
      </c>
      <c r="F3878" t="s">
        <v>183</v>
      </c>
    </row>
    <row r="3879" spans="1:6" x14ac:dyDescent="0.2">
      <c r="A3879">
        <v>78982030</v>
      </c>
      <c r="B3879">
        <v>2020</v>
      </c>
      <c r="C3879">
        <v>31.842382433693199</v>
      </c>
      <c r="D3879" t="s">
        <v>1116</v>
      </c>
      <c r="E3879" t="s">
        <v>1117</v>
      </c>
      <c r="F3879" t="s">
        <v>191</v>
      </c>
    </row>
    <row r="3880" spans="1:6" x14ac:dyDescent="0.2">
      <c r="A3880">
        <v>78982030</v>
      </c>
      <c r="B3880">
        <v>2019</v>
      </c>
      <c r="C3880">
        <v>45.5200101487236</v>
      </c>
      <c r="D3880" t="s">
        <v>1116</v>
      </c>
      <c r="E3880" t="s">
        <v>1117</v>
      </c>
      <c r="F3880" t="s">
        <v>191</v>
      </c>
    </row>
    <row r="3881" spans="1:6" x14ac:dyDescent="0.2">
      <c r="A3881">
        <v>78982030</v>
      </c>
      <c r="B3881">
        <v>2016</v>
      </c>
      <c r="C3881">
        <v>42.570098762629101</v>
      </c>
      <c r="D3881" t="s">
        <v>1116</v>
      </c>
      <c r="E3881" t="s">
        <v>1117</v>
      </c>
      <c r="F3881" t="s">
        <v>191</v>
      </c>
    </row>
    <row r="3882" spans="1:6" x14ac:dyDescent="0.2">
      <c r="A3882">
        <v>40284987</v>
      </c>
      <c r="B3882">
        <v>2015</v>
      </c>
      <c r="C3882">
        <v>48.651507139079897</v>
      </c>
      <c r="D3882" t="s">
        <v>865</v>
      </c>
      <c r="E3882" t="s">
        <v>866</v>
      </c>
      <c r="F3882" t="s">
        <v>11</v>
      </c>
    </row>
    <row r="3883" spans="1:6" x14ac:dyDescent="0.2">
      <c r="A3883">
        <v>40223382</v>
      </c>
      <c r="B3883">
        <v>2020</v>
      </c>
      <c r="C3883">
        <v>60.538327762161899</v>
      </c>
      <c r="D3883" t="s">
        <v>14</v>
      </c>
      <c r="E3883" t="s">
        <v>15</v>
      </c>
      <c r="F3883" t="s">
        <v>11</v>
      </c>
    </row>
    <row r="3884" spans="1:6" x14ac:dyDescent="0.2">
      <c r="A3884">
        <v>40223382</v>
      </c>
      <c r="B3884">
        <v>2019</v>
      </c>
      <c r="C3884">
        <v>52.2612298720911</v>
      </c>
      <c r="D3884" t="s">
        <v>14</v>
      </c>
      <c r="E3884" t="s">
        <v>15</v>
      </c>
      <c r="F3884" t="s">
        <v>11</v>
      </c>
    </row>
    <row r="3885" spans="1:6" x14ac:dyDescent="0.2">
      <c r="A3885">
        <v>40223382</v>
      </c>
      <c r="B3885">
        <v>2018</v>
      </c>
      <c r="C3885">
        <v>59.383001845511501</v>
      </c>
      <c r="D3885" t="s">
        <v>14</v>
      </c>
      <c r="E3885" t="s">
        <v>15</v>
      </c>
      <c r="F3885" t="s">
        <v>11</v>
      </c>
    </row>
    <row r="3886" spans="1:6" x14ac:dyDescent="0.2">
      <c r="A3886">
        <v>40223382</v>
      </c>
      <c r="B3886">
        <v>2017</v>
      </c>
      <c r="C3886">
        <v>61.465855168145197</v>
      </c>
      <c r="D3886" t="s">
        <v>14</v>
      </c>
      <c r="E3886" t="s">
        <v>15</v>
      </c>
      <c r="F3886" t="s">
        <v>11</v>
      </c>
    </row>
    <row r="3887" spans="1:6" x14ac:dyDescent="0.2">
      <c r="A3887">
        <v>40223382</v>
      </c>
      <c r="B3887">
        <v>2016</v>
      </c>
      <c r="C3887">
        <v>50.055791677636897</v>
      </c>
      <c r="D3887" t="s">
        <v>14</v>
      </c>
      <c r="E3887" t="s">
        <v>15</v>
      </c>
      <c r="F3887" t="s">
        <v>11</v>
      </c>
    </row>
    <row r="3888" spans="1:6" x14ac:dyDescent="0.2">
      <c r="A3888">
        <v>40223382</v>
      </c>
      <c r="B3888">
        <v>2015</v>
      </c>
      <c r="C3888">
        <v>52.007484847252201</v>
      </c>
      <c r="D3888" t="s">
        <v>14</v>
      </c>
      <c r="E3888" t="s">
        <v>15</v>
      </c>
      <c r="F3888" t="s">
        <v>11</v>
      </c>
    </row>
    <row r="3889" spans="1:6" x14ac:dyDescent="0.2">
      <c r="A3889">
        <v>40223382</v>
      </c>
      <c r="B3889">
        <v>2014</v>
      </c>
      <c r="C3889">
        <v>50.4009801737581</v>
      </c>
      <c r="D3889" t="s">
        <v>14</v>
      </c>
      <c r="E3889" t="s">
        <v>15</v>
      </c>
      <c r="F3889" t="s">
        <v>11</v>
      </c>
    </row>
    <row r="3890" spans="1:6" x14ac:dyDescent="0.2">
      <c r="A3890">
        <v>40223382</v>
      </c>
      <c r="B3890">
        <v>2013</v>
      </c>
      <c r="C3890">
        <v>49.851190476190503</v>
      </c>
      <c r="D3890" t="s">
        <v>14</v>
      </c>
      <c r="E3890" t="s">
        <v>15</v>
      </c>
      <c r="F3890" t="s">
        <v>11</v>
      </c>
    </row>
    <row r="3891" spans="1:6" x14ac:dyDescent="0.2">
      <c r="A3891">
        <v>40223382</v>
      </c>
      <c r="B3891">
        <v>2012</v>
      </c>
      <c r="C3891">
        <v>45.876288659793801</v>
      </c>
      <c r="D3891" t="s">
        <v>14</v>
      </c>
      <c r="E3891" t="s">
        <v>15</v>
      </c>
      <c r="F3891" t="s">
        <v>11</v>
      </c>
    </row>
    <row r="3892" spans="1:6" x14ac:dyDescent="0.2">
      <c r="A3892">
        <v>40223382</v>
      </c>
      <c r="B3892">
        <v>2011</v>
      </c>
      <c r="C3892">
        <v>56.764705882352899</v>
      </c>
      <c r="D3892" t="s">
        <v>14</v>
      </c>
      <c r="E3892" t="s">
        <v>15</v>
      </c>
      <c r="F3892" t="s">
        <v>11</v>
      </c>
    </row>
    <row r="3893" spans="1:6" x14ac:dyDescent="0.2">
      <c r="A3893">
        <v>40223382</v>
      </c>
      <c r="B3893">
        <v>2010</v>
      </c>
      <c r="C3893">
        <v>56.8965517241379</v>
      </c>
      <c r="D3893" t="s">
        <v>14</v>
      </c>
      <c r="E3893" t="s">
        <v>15</v>
      </c>
      <c r="F3893" t="s">
        <v>11</v>
      </c>
    </row>
  </sheetData>
  <dataConsolidate/>
  <dataValidations count="4">
    <dataValidation type="list" allowBlank="1" showInputMessage="1" showErrorMessage="1" sqref="J34" xr:uid="{C5F99E9A-C5FC-544A-9E83-72263AC018BD}">
      <formula1>$I$13:$I$17</formula1>
    </dataValidation>
    <dataValidation type="list" allowBlank="1" showInputMessage="1" showErrorMessage="1" sqref="J22 J28" xr:uid="{32FCF4CE-194D-C047-8ECD-7CDBB038C146}">
      <formula1>$I$2:$I$17</formula1>
    </dataValidation>
    <dataValidation type="list" allowBlank="1" showInputMessage="1" showErrorMessage="1" sqref="K20 N21 J23" xr:uid="{80CD3428-10A3-B74B-B8AC-DAE2134D9A0B}">
      <formula1>$J$1:$DX$1</formula1>
    </dataValidation>
    <dataValidation type="list" allowBlank="1" showInputMessage="1" showErrorMessage="1" sqref="J40" xr:uid="{351CA0A2-D290-D147-8F16-E1F569730236}">
      <formula1>$I$2:$I$12</formula1>
    </dataValidation>
  </dataValidations>
  <pageMargins left="0.7" right="0.7" top="0.75" bottom="0.75" header="0.3" footer="0.3"/>
  <ignoredErrors>
    <ignoredError sqref="AB13:AB17" formula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8825-33B7-7D46-9B92-6CF76D7A9507}">
  <sheetPr codeName="Sheet3"/>
  <dimension ref="A1:E17"/>
  <sheetViews>
    <sheetView workbookViewId="0">
      <selection activeCell="C27" sqref="C27"/>
    </sheetView>
  </sheetViews>
  <sheetFormatPr baseColWidth="10" defaultColWidth="11.5" defaultRowHeight="15" x14ac:dyDescent="0.2"/>
  <sheetData>
    <row r="1" spans="1:5" x14ac:dyDescent="0.2">
      <c r="A1" s="1" t="s">
        <v>1146</v>
      </c>
      <c r="B1" s="1" t="s">
        <v>1147</v>
      </c>
      <c r="C1" s="1" t="s">
        <v>1148</v>
      </c>
      <c r="D1" s="1" t="s">
        <v>1149</v>
      </c>
      <c r="E1" s="1" t="s">
        <v>1150</v>
      </c>
    </row>
    <row r="2" spans="1:5" x14ac:dyDescent="0.2">
      <c r="A2" s="1">
        <v>2010</v>
      </c>
      <c r="B2" s="1">
        <v>39.879807692307715</v>
      </c>
      <c r="C2" s="1"/>
      <c r="D2" s="1"/>
      <c r="E2" s="1"/>
    </row>
    <row r="3" spans="1:5" x14ac:dyDescent="0.2">
      <c r="A3" s="1">
        <v>2011</v>
      </c>
      <c r="B3" s="1">
        <v>47.073596792668958</v>
      </c>
      <c r="C3" s="1"/>
      <c r="D3" s="1"/>
      <c r="E3" s="1"/>
    </row>
    <row r="4" spans="1:5" x14ac:dyDescent="0.2">
      <c r="A4" s="1">
        <v>2012</v>
      </c>
      <c r="B4" s="1">
        <v>44.018984215045236</v>
      </c>
      <c r="C4" s="1"/>
      <c r="D4" s="1"/>
      <c r="E4" s="1"/>
    </row>
    <row r="5" spans="1:5" x14ac:dyDescent="0.2">
      <c r="A5" s="1">
        <v>2013</v>
      </c>
      <c r="B5" s="1">
        <v>49.129793504461951</v>
      </c>
      <c r="C5" s="1"/>
      <c r="D5" s="1"/>
      <c r="E5" s="1"/>
    </row>
    <row r="6" spans="1:5" x14ac:dyDescent="0.2">
      <c r="A6" s="1">
        <v>2014</v>
      </c>
      <c r="B6" s="1">
        <v>48.034403370785704</v>
      </c>
      <c r="C6" s="1"/>
      <c r="D6" s="1"/>
      <c r="E6" s="1"/>
    </row>
    <row r="7" spans="1:5" x14ac:dyDescent="0.2">
      <c r="A7" s="1">
        <v>2015</v>
      </c>
      <c r="B7" s="1">
        <v>46.439813440689825</v>
      </c>
      <c r="C7" s="1"/>
      <c r="D7" s="1"/>
      <c r="E7" s="1"/>
    </row>
    <row r="8" spans="1:5" x14ac:dyDescent="0.2">
      <c r="A8" s="1">
        <v>2016</v>
      </c>
      <c r="B8" s="1">
        <v>48.727634363832934</v>
      </c>
      <c r="C8" s="1"/>
      <c r="D8" s="1"/>
      <c r="E8" s="1"/>
    </row>
    <row r="9" spans="1:5" x14ac:dyDescent="0.2">
      <c r="A9" s="1">
        <v>2017</v>
      </c>
      <c r="B9" s="1">
        <v>51.015455286976049</v>
      </c>
      <c r="C9" s="1"/>
      <c r="D9" s="1"/>
      <c r="E9" s="1"/>
    </row>
    <row r="10" spans="1:5" x14ac:dyDescent="0.2">
      <c r="A10" s="1">
        <v>2018</v>
      </c>
      <c r="B10" s="1">
        <v>57.113330839947743</v>
      </c>
      <c r="C10" s="1"/>
      <c r="D10" s="1"/>
      <c r="E10" s="1"/>
    </row>
    <row r="11" spans="1:5" x14ac:dyDescent="0.2">
      <c r="A11" s="1">
        <v>2019</v>
      </c>
      <c r="B11" s="1">
        <v>54.700390420566485</v>
      </c>
      <c r="C11" s="1"/>
      <c r="D11" s="1"/>
      <c r="E11" s="1"/>
    </row>
    <row r="12" spans="1:5" x14ac:dyDescent="0.2">
      <c r="A12" s="1">
        <v>2020</v>
      </c>
      <c r="B12" s="1">
        <v>55.54052843329012</v>
      </c>
      <c r="C12" s="1">
        <v>55.54052843329012</v>
      </c>
      <c r="D12" s="10">
        <v>55.54052843329012</v>
      </c>
      <c r="E12" s="10">
        <v>55.54052843329012</v>
      </c>
    </row>
    <row r="13" spans="1:5" x14ac:dyDescent="0.2">
      <c r="A13" s="1">
        <v>2021</v>
      </c>
      <c r="B13" s="1"/>
      <c r="C13" s="1">
        <f>_xlfn.FORECAST.ETS(A13,$B$2:$B$12,$A$2:$A$12,3,1)</f>
        <v>56.25719304182028</v>
      </c>
      <c r="D13" s="10">
        <f>C13-_xlfn.FORECAST.ETS.CONFINT(A13,$B$2:$B$12,$A$2:$A$12,0.95,3,1)</f>
        <v>50.974759264039577</v>
      </c>
      <c r="E13" s="10">
        <f>C13+_xlfn.FORECAST.ETS.CONFINT(A13,$B$2:$B$12,$A$2:$A$12,0.95,3,1)</f>
        <v>61.539626819600983</v>
      </c>
    </row>
    <row r="14" spans="1:5" x14ac:dyDescent="0.2">
      <c r="A14" s="1">
        <v>2022</v>
      </c>
      <c r="B14" s="1"/>
      <c r="C14" s="1">
        <f>_xlfn.FORECAST.ETS(A14,$B$2:$B$12,$A$2:$A$12,3,1)</f>
        <v>58.076631618714693</v>
      </c>
      <c r="D14" s="10">
        <f>C14-_xlfn.FORECAST.ETS.CONFINT(A14,$B$2:$B$12,$A$2:$A$12,0.95,3,1)</f>
        <v>52.629051513454975</v>
      </c>
      <c r="E14" s="10">
        <f>C14+_xlfn.FORECAST.ETS.CONFINT(A14,$B$2:$B$12,$A$2:$A$12,0.95,3,1)</f>
        <v>63.52421172397441</v>
      </c>
    </row>
    <row r="15" spans="1:5" x14ac:dyDescent="0.2">
      <c r="A15" s="1">
        <v>2023</v>
      </c>
      <c r="B15" s="1"/>
      <c r="C15" s="1">
        <f>_xlfn.FORECAST.ETS(A15,$B$2:$B$12,$A$2:$A$12,3,1)</f>
        <v>61.280634125351312</v>
      </c>
      <c r="D15" s="10">
        <f>C15-_xlfn.FORECAST.ETS.CONFINT(A15,$B$2:$B$12,$A$2:$A$12,0.95,3,1)</f>
        <v>55.671512717889541</v>
      </c>
      <c r="E15" s="10">
        <f>C15+_xlfn.FORECAST.ETS.CONFINT(A15,$B$2:$B$12,$A$2:$A$12,0.95,3,1)</f>
        <v>66.889755532813084</v>
      </c>
    </row>
    <row r="16" spans="1:5" x14ac:dyDescent="0.2">
      <c r="A16" s="1">
        <v>2024</v>
      </c>
      <c r="B16" s="1"/>
      <c r="C16" s="1">
        <f>_xlfn.FORECAST.ETS(A16,$B$2:$B$12,$A$2:$A$12,3,1)</f>
        <v>60.339564010384819</v>
      </c>
      <c r="D16" s="10">
        <f>C16-_xlfn.FORECAST.ETS.CONFINT(A16,$B$2:$B$12,$A$2:$A$12,0.95,3,1)</f>
        <v>54.570967344262911</v>
      </c>
      <c r="E16" s="10">
        <f>C16+_xlfn.FORECAST.ETS.CONFINT(A16,$B$2:$B$12,$A$2:$A$12,0.95,3,1)</f>
        <v>66.108160676506728</v>
      </c>
    </row>
    <row r="17" spans="1:5" x14ac:dyDescent="0.2">
      <c r="A17" s="1">
        <v>2025</v>
      </c>
      <c r="B17" s="1"/>
      <c r="C17" s="1">
        <f>_xlfn.FORECAST.ETS(A17,$B$2:$B$12,$A$2:$A$12,3,1)</f>
        <v>62.15900258727924</v>
      </c>
      <c r="D17" s="10">
        <f>C17-_xlfn.FORECAST.ETS.CONFINT(A17,$B$2:$B$12,$A$2:$A$12,0.95,3,1)</f>
        <v>56.235222372826669</v>
      </c>
      <c r="E17" s="10">
        <f>C17+_xlfn.FORECAST.ETS.CONFINT(A17,$B$2:$B$12,$A$2:$A$12,0.95,3,1)</f>
        <v>68.08278280173181</v>
      </c>
    </row>
  </sheetData>
  <pageMargins left="0.7" right="0.7" top="0.75" bottom="0.75" header="0.3" footer="0.3"/>
  <ignoredErrors>
    <ignoredError sqref="C12:E12" calculatedColumn="1"/>
  </ignoredErrors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B5430-3D50-4D68-A9E6-A16BE9C61B66}">
  <sheetPr codeName="Sheet4"/>
  <dimension ref="A1:H30"/>
  <sheetViews>
    <sheetView tabSelected="1" workbookViewId="0">
      <selection activeCell="G12" sqref="G12"/>
    </sheetView>
  </sheetViews>
  <sheetFormatPr baseColWidth="10" defaultColWidth="8.83203125" defaultRowHeight="15" x14ac:dyDescent="0.2"/>
  <cols>
    <col min="1" max="1" width="10.33203125" customWidth="1"/>
    <col min="3" max="3" width="10" customWidth="1"/>
    <col min="4" max="4" width="24" customWidth="1"/>
    <col min="5" max="5" width="24.1640625" customWidth="1"/>
  </cols>
  <sheetData>
    <row r="1" spans="1:8" x14ac:dyDescent="0.2">
      <c r="A1" t="s">
        <v>1130</v>
      </c>
      <c r="B1" s="11" t="s">
        <v>706</v>
      </c>
    </row>
    <row r="2" spans="1:8" x14ac:dyDescent="0.2">
      <c r="A2" t="s">
        <v>1151</v>
      </c>
      <c r="B2" cm="1">
        <f t="array" ref="B2">INDEX(Table372[ID],MATCH(Forecast!B1,Table372[CITY],0),0)</f>
        <v>33953839</v>
      </c>
    </row>
    <row r="9" spans="1:8" x14ac:dyDescent="0.2">
      <c r="A9" t="s">
        <v>1131</v>
      </c>
      <c r="B9" t="s">
        <v>1152</v>
      </c>
      <c r="C9" t="s">
        <v>1148</v>
      </c>
      <c r="D9" t="s">
        <v>1149</v>
      </c>
      <c r="E9" t="s">
        <v>1150</v>
      </c>
    </row>
    <row r="10" spans="1:8" x14ac:dyDescent="0.2">
      <c r="A10">
        <v>2010</v>
      </c>
      <c r="B10">
        <v>44.471153846153904</v>
      </c>
    </row>
    <row r="11" spans="1:8" x14ac:dyDescent="0.2">
      <c r="A11">
        <v>2011</v>
      </c>
      <c r="B11">
        <v>44.673539518900299</v>
      </c>
    </row>
    <row r="12" spans="1:8" x14ac:dyDescent="0.2">
      <c r="A12">
        <v>2012</v>
      </c>
      <c r="B12">
        <v>56.634304207119698</v>
      </c>
      <c r="G12" cm="1">
        <f t="array" ref="G12:H21">_xlfn._xlws.SORT(_xlfn._xlws.FILTER(Table372[[YEAR]:[INTERNET_PRICE]],Table372[ID]=Forecast!B2))</f>
        <v>2010</v>
      </c>
      <c r="H12">
        <v>44.471153846153904</v>
      </c>
    </row>
    <row r="13" spans="1:8" x14ac:dyDescent="0.2">
      <c r="A13">
        <v>2013</v>
      </c>
      <c r="B13">
        <v>48.033216783216801</v>
      </c>
      <c r="G13">
        <v>2011</v>
      </c>
      <c r="H13">
        <v>44.673539518900299</v>
      </c>
    </row>
    <row r="14" spans="1:8" x14ac:dyDescent="0.2">
      <c r="A14">
        <v>2014</v>
      </c>
      <c r="B14">
        <v>54.752691568612001</v>
      </c>
      <c r="G14">
        <v>2012</v>
      </c>
      <c r="H14">
        <v>56.634304207119698</v>
      </c>
    </row>
    <row r="15" spans="1:8" x14ac:dyDescent="0.2">
      <c r="A15">
        <v>2015</v>
      </c>
      <c r="B15">
        <v>42.937233032747997</v>
      </c>
      <c r="G15">
        <v>2013</v>
      </c>
      <c r="H15">
        <v>48.033216783216801</v>
      </c>
    </row>
    <row r="16" spans="1:8" x14ac:dyDescent="0.2">
      <c r="A16">
        <v>2016</v>
      </c>
      <c r="B16">
        <v>45.520468616538494</v>
      </c>
      <c r="G16">
        <v>2014</v>
      </c>
      <c r="H16">
        <v>54.752691568612001</v>
      </c>
    </row>
    <row r="17" spans="1:8" x14ac:dyDescent="0.2">
      <c r="A17">
        <v>2017</v>
      </c>
      <c r="B17">
        <v>48.103704200328998</v>
      </c>
      <c r="G17">
        <v>2015</v>
      </c>
      <c r="H17">
        <v>42.937233032747997</v>
      </c>
    </row>
    <row r="18" spans="1:8" x14ac:dyDescent="0.2">
      <c r="A18">
        <v>2018</v>
      </c>
      <c r="B18">
        <v>58.734231137894199</v>
      </c>
      <c r="G18">
        <v>2017</v>
      </c>
      <c r="H18">
        <v>48.103704200328998</v>
      </c>
    </row>
    <row r="19" spans="1:8" x14ac:dyDescent="0.2">
      <c r="A19">
        <v>2019</v>
      </c>
      <c r="B19">
        <v>58.563853984894301</v>
      </c>
      <c r="G19">
        <v>2018</v>
      </c>
      <c r="H19">
        <v>58.734231137894199</v>
      </c>
    </row>
    <row r="20" spans="1:8" x14ac:dyDescent="0.2">
      <c r="A20">
        <v>2020</v>
      </c>
      <c r="B20">
        <v>55.974498240052199</v>
      </c>
      <c r="C20">
        <v>55.974498240052199</v>
      </c>
      <c r="D20">
        <v>55.974498240052199</v>
      </c>
      <c r="E20">
        <v>55.974498240052199</v>
      </c>
      <c r="G20">
        <v>2019</v>
      </c>
      <c r="H20">
        <v>58.563853984894301</v>
      </c>
    </row>
    <row r="21" spans="1:8" x14ac:dyDescent="0.2">
      <c r="A21">
        <v>2021</v>
      </c>
      <c r="C21">
        <v>55.609653501659722</v>
      </c>
      <c r="D21">
        <v>45.56156712157636</v>
      </c>
      <c r="E21">
        <v>65.657739881743083</v>
      </c>
      <c r="G21">
        <v>2020</v>
      </c>
      <c r="H21">
        <v>55.974498240052199</v>
      </c>
    </row>
    <row r="22" spans="1:8" x14ac:dyDescent="0.2">
      <c r="A22">
        <v>2022</v>
      </c>
      <c r="C22">
        <v>56.625864228164907</v>
      </c>
      <c r="D22">
        <v>46.577732631794575</v>
      </c>
      <c r="E22">
        <v>66.67399582453524</v>
      </c>
    </row>
    <row r="23" spans="1:8" x14ac:dyDescent="0.2">
      <c r="A23">
        <v>2023</v>
      </c>
      <c r="C23">
        <v>57.642074954670086</v>
      </c>
      <c r="D23">
        <v>47.593862974291973</v>
      </c>
      <c r="E23">
        <v>67.690286935048206</v>
      </c>
    </row>
    <row r="24" spans="1:8" x14ac:dyDescent="0.2">
      <c r="A24">
        <v>2024</v>
      </c>
      <c r="C24">
        <v>58.658285681175265</v>
      </c>
      <c r="D24">
        <v>48.609948102072352</v>
      </c>
      <c r="E24">
        <v>68.706623260278178</v>
      </c>
    </row>
    <row r="25" spans="1:8" x14ac:dyDescent="0.2">
      <c r="A25">
        <v>2025</v>
      </c>
      <c r="C25">
        <v>59.674496407680444</v>
      </c>
      <c r="D25">
        <v>49.625977969171799</v>
      </c>
      <c r="E25">
        <v>69.723014846189088</v>
      </c>
    </row>
    <row r="26" spans="1:8" hidden="1" x14ac:dyDescent="0.2"/>
    <row r="27" spans="1:8" hidden="1" x14ac:dyDescent="0.2"/>
    <row r="28" spans="1:8" hidden="1" x14ac:dyDescent="0.2"/>
    <row r="29" spans="1:8" hidden="1" x14ac:dyDescent="0.2"/>
    <row r="30" spans="1:8" hidden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Forecast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3</xdr:col>
                    <xdr:colOff>609600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Country</vt:lpstr>
      <vt:lpstr>CanadaForcast</vt:lpstr>
      <vt:lpstr>Forecast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Staus</dc:creator>
  <cp:lastModifiedBy>Microsoft Office User</cp:lastModifiedBy>
  <dcterms:created xsi:type="dcterms:W3CDTF">2021-11-10T20:30:46Z</dcterms:created>
  <dcterms:modified xsi:type="dcterms:W3CDTF">2021-12-02T16:43:55Z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9ada0c06-0887-4fdb-b721-8bf39e42b05e</vt:lpwstr>
  </property>
</Properties>
</file>